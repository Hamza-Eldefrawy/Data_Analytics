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ummary" sheetId="2" r:id="rId5"/>
    <sheet state="visible" name="Regions" sheetId="3" r:id="rId6"/>
  </sheets>
  <definedNames>
    <definedName hidden="1" localSheetId="0" name="_xlnm._FilterDatabase">Data!$B$1:$B$1000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<sst xmlns="http://schemas.openxmlformats.org/spreadsheetml/2006/main" count="1927" uniqueCount="289">
  <si>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</si>
  <si>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</si>
  <si>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</si>
  <si>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</si>
  <si>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</si>
  <si>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</si>
  <si>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</si>
  <si>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</si>
  <si>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</si>
  <si>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</si>
  <si>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</si>
  <si>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</si>
  <si>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</si>
  <si>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</si>
  <si>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</si>
  <si>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</si>
  <si>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</si>
  <si>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ARC_n</t>
  </si>
  <si>
    <t>ARC_r</t>
  </si>
  <si>
    <t>ARC_u</t>
  </si>
  <si>
    <t>wat_bas_n (rounded)</t>
  </si>
  <si>
    <t>wat_bas_r (rounded)</t>
  </si>
  <si>
    <t>wat_bas_u (rounded)</t>
  </si>
  <si>
    <t>ARC_n_full</t>
  </si>
  <si>
    <t>ARC_r_full</t>
  </si>
  <si>
    <t>ARC_u_full</t>
  </si>
  <si>
    <t>ARC_diff</t>
  </si>
  <si>
    <t>ARC_diff (abs)</t>
  </si>
  <si>
    <t>region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</si>
  <si>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</si>
  <si>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</si>
  <si>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</si>
  <si>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</si>
  <si>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</si>
  <si>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</si>
  <si>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</si>
  <si>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</si>
  <si>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</si>
  <si>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</si>
  <si>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</si>
  <si>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</si>
  <si>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</si>
  <si>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</si>
  <si>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</si>
  <si>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</si>
  <si>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</si>
  <si>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</si>
  <si>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</si>
  <si>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</si>
  <si>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</si>
  <si>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</si>
  <si>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</si>
  <si>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</si>
  <si>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</si>
  <si>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</si>
  <si>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</si>
  <si>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</si>
  <si>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</si>
  <si>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</si>
  <si>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</si>
  <si>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</si>
  <si>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</si>
  <si>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</si>
  <si>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</si>
  <si>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</si>
  <si>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</si>
  <si>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</si>
  <si>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</si>
  <si>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</si>
  <si>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</si>
  <si>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</si>
  <si>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</si>
  <si>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</si>
  <si>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</si>
  <si>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</si>
  <si>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</si>
  <si>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</si>
  <si>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</si>
  <si>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</si>
  <si>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</si>
  <si>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</si>
  <si>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</si>
  <si>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</si>
  <si>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</si>
  <si>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</si>
  <si>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</si>
  <si>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</si>
  <si>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</si>
  <si>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</si>
  <si>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</si>
  <si>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</si>
  <si>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</si>
  <si>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</si>
  <si>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</si>
  <si>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</si>
  <si>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</si>
  <si>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</si>
  <si>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</si>
  <si>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</si>
  <si>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</si>
  <si>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</si>
  <si>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</si>
  <si>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</si>
  <si>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</si>
  <si>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</si>
  <si>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</si>
  <si>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</si>
  <si>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</si>
  <si>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</si>
  <si>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</si>
  <si>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</si>
  <si>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</si>
  <si>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</si>
  <si>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</si>
  <si>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</si>
  <si>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</si>
  <si>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</si>
  <si>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</si>
  <si>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</si>
  <si>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</si>
  <si>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</si>
  <si>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</si>
  <si>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</si>
  <si>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</si>
  <si>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</si>
  <si>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</si>
  <si>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</si>
  <si>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</si>
  <si>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</si>
  <si>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</si>
  <si>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</si>
  <si>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</si>
  <si>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</si>
  <si>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</si>
  <si>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</si>
  <si>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</si>
  <si>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</si>
  <si>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</si>
  <si>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</si>
  <si>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</si>
  <si>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</si>
  <si>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</si>
  <si>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</si>
  <si>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</si>
  <si>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</si>
  <si>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</si>
  <si>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</si>
  <si>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</si>
  <si>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</si>
  <si>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</si>
  <si>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</si>
  <si>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</si>
  <si>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</si>
  <si>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</si>
  <si>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</si>
  <si>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</si>
  <si>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</si>
  <si>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</si>
  <si>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</si>
  <si>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</si>
  <si>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</si>
  <si>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</si>
  <si>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</si>
  <si>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</si>
  <si>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</si>
  <si>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</si>
  <si>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</si>
  <si>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</si>
  <si>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</si>
  <si>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</si>
  <si>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</si>
  <si>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</si>
  <si>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</si>
  <si>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</si>
  <si>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</si>
  <si>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</si>
  <si>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</si>
  <si>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</si>
  <si>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</si>
  <si>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</si>
  <si>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</si>
  <si>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</si>
  <si>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</si>
  <si>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</si>
  <si>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</si>
  <si>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</si>
  <si>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</si>
  <si>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</si>
  <si>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</si>
  <si>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</si>
  <si>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</si>
  <si>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</si>
  <si>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</si>
  <si>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</si>
  <si>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</si>
  <si>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</si>
  <si>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</si>
  <si>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</si>
  <si>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</si>
  <si>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</si>
  <si>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</si>
  <si>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</si>
  <si>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</si>
  <si>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</si>
  <si>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</si>
  <si>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</si>
  <si>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</si>
  <si>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</si>
  <si>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</si>
  <si>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</si>
  <si>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</si>
  <si>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</si>
  <si>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</si>
  <si>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</si>
  <si>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</si>
  <si>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</si>
  <si>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</si>
  <si>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</si>
  <si>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</si>
  <si>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</si>
  <si>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</si>
  <si>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</si>
  <si>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</si>
  <si>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</si>
  <si>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</si>
  <si>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</si>
  <si>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</si>
  <si>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</si>
  <si>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</si>
  <si>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</si>
  <si>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</si>
  <si>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</si>
  <si>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</si>
  <si>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</si>
  <si>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</si>
  <si>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</si>
  <si>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</si>
  <si>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</si>
  <si>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</si>
  <si>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</si>
  <si>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</si>
  <si>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</si>
  <si>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</si>
  <si>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</si>
  <si>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</si>
  <si>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</si>
  <si>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</si>
  <si>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</si>
  <si>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</si>
  <si>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</si>
  <si>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</si>
  <si>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</si>
  <si>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</si>
  <si>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</si>
  <si>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</si>
  <si>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</si>
  <si>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</si>
  <si>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</si>
  <si>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</si>
  <si>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</si>
  <si>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</si>
  <si>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Average year diff.</t>
  </si>
  <si>
    <t>Max year diff.</t>
  </si>
  <si>
    <t>Min year diff.</t>
  </si>
  <si>
    <t>Average</t>
  </si>
  <si>
    <t>Max</t>
  </si>
  <si>
    <t>Min</t>
  </si>
  <si>
    <t>Full access (ARC = 100)</t>
  </si>
  <si>
    <t>No access (ARC = zero)</t>
  </si>
  <si>
    <t>No full access (ARC &lt; zero)</t>
  </si>
  <si>
    <t>No full access (ARC &gt; zero)</t>
  </si>
  <si>
    <t>Null count</t>
  </si>
  <si>
    <t>Total</t>
  </si>
  <si>
    <t>National</t>
  </si>
  <si>
    <t>Rural</t>
  </si>
  <si>
    <t>Urban</t>
  </si>
  <si>
    <t>COUNTUNIQUE of name</t>
  </si>
  <si>
    <t>AVERAGE of ARC_n</t>
  </si>
  <si>
    <t>AVERAGE of ARC_r</t>
  </si>
  <si>
    <t>AVERAGE of ARC_u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</si>
  <si>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</si>
  <si>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</si>
  <si>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</si>
  <si>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</si>
  <si>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</si>
  <si>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</si>
  <si>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</si>
  <si>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Grand Total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</si>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</sst>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47625</xdr:rowOff>
    </xdr:from>
    <xdr:ext cx="6524625" cy="4029075"/>
    <xdr:pic>
      <xdr:nvPicPr>
        <xdr:cNvPr id="1193673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38</xdr:row>
      <xdr:rowOff>152400</xdr:rowOff>
    </xdr:from>
    <xdr:ext cx="5715000" cy="3533775"/>
    <xdr:pic>
      <xdr:nvPicPr>
        <xdr:cNvPr id="47451469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58</xdr:row>
      <xdr:rowOff>104775</xdr:rowOff>
    </xdr:from>
    <xdr:ext cx="8858250" cy="5467350"/>
    <xdr:pic>
      <xdr:nvPicPr>
        <xdr:cNvPr id="79792209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38</xdr:row>
      <xdr:rowOff>76200</xdr:rowOff>
    </xdr:from>
    <xdr:ext cx="5715000" cy="3533775"/>
    <xdr:pic>
      <xdr:nvPicPr>
        <xdr:cNvPr id="168691976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63" sheet="Data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_diff">
      <sharedItems containsMixedTypes="1" containsNumber="1" containsInteger="1">
        <n v="5.0"/>
        <s v=""/>
        <n v="2.0"/>
        <n v="1.0"/>
        <n v="4.0"/>
        <n v="3.0"/>
      </sharedItems>
    </cacheField>
    <cacheField name="ARC_n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ARC_r">
      <sharedItems containsMixedTypes="1" containsNumber="1"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ARC_u">
      <sharedItems containsMixedTypes="1" containsNumber="1"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bas_n (rounded)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null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s v="null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wat_bas_u (rounded)">
      <sharedItems containsMixedTypes="1" containsNumber="1" containsInteger="1">
        <n v="87.0"/>
        <n v="100.0"/>
        <n v="95.0"/>
        <n v="96.0"/>
        <s v="null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n_full" numFmtId="0">
      <sharedItems>
        <s v=""/>
        <s v="full access"/>
      </sharedItems>
    </cacheField>
    <cacheField name="ARC_r_full" numFmtId="0">
      <sharedItems>
        <s v=""/>
        <s v="full access"/>
      </sharedItems>
    </cacheField>
    <cacheField name="ARC_u_full" numFmtId="0">
      <sharedItems>
        <s v=""/>
        <s v="full access"/>
      </sharedItems>
    </cacheField>
    <cacheField name="ARC_diff">
      <sharedItems containsMixedTypes="1" containsNumber="1">
        <n v="-3.2921799999874324E-4"/>
        <n v="0.0"/>
        <n v="0.6490682580000027"/>
        <n v="0.23408197800000038"/>
        <s v="null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45882501399999853"/>
      </sharedItems>
    </cacheField>
    <cacheField name="ARC_diff (abs)">
      <sharedItems containsMixedTypes="1" containsNumber="1">
        <n v="3.2921799999874324E-4"/>
        <n v="0.0"/>
        <n v="0.6490682580000027"/>
        <n v="0.23408197800000038"/>
        <s v="null"/>
        <n v="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0.10646301000000165"/>
        <n v="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0.4576659919999997"/>
        <n v="0.16453969000000013"/>
        <n v="0.3884514479999993"/>
        <n v="0.20701976400000033"/>
        <n v="0.7261204399999998"/>
        <n v="0.09231917200000055"/>
        <n v="0.9577457200000027"/>
        <n v="0.5072601839999991"/>
        <n v="1.0649440280000007"/>
        <n v="0.03634054599999956"/>
        <n v="0.17292970999999968"/>
        <n v="0.056320474000000315"/>
        <n v="0.5177090239999984"/>
        <n v="0.058358879999997226"/>
        <n v="0.45787861800000085"/>
        <n v="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0.5784321480000016"/>
        <n v="0.2534058619999996"/>
        <n v="0.5074572340000003"/>
        <n v="0.12857142800000076"/>
        <n v="0.13633326599999973"/>
        <n v="0.8251233520000013"/>
        <n v="0.13607819199999938"/>
        <n v="0.15022599799999625"/>
        <n v="0.735826391999997"/>
        <n v="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0.11228258799999792"/>
        <n v="0.703783390000001"/>
        <n v="0.25138283199999867"/>
        <n v="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0.13292682000000014"/>
        <n v="0.6088791899999989"/>
        <n v="1.5055446920000009"/>
        <n v="0.2854510999999974"/>
        <n v="0.902037750000001"/>
        <n v="0.7501351079999977"/>
        <n v="0.6010146239999984"/>
        <n v="0.8276982520000019"/>
        <n v="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0.45882501399999853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1" max="21" width="18.88"/>
    <col customWidth="1" min="22" max="22" width="19.38"/>
    <col customWidth="1" min="23" max="23" width="17.38"/>
    <col customWidth="1" min="29" max="29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</row>
    <row r="2">
      <c r="A2" s="1" t="s">
        <v>29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2">
        <f t="shared" ref="Q2:Q463" si="1">IF(A3=A2, B3-B2, "")</f>
        <v>5</v>
      </c>
      <c r="R2" s="2">
        <f t="shared" ref="R2:R463" si="2">IFERROR(IF(A3=A2, (E3-E2)/(B3-B2), ""), "null")</f>
        <v>2.750326488</v>
      </c>
      <c r="S2" s="2">
        <f t="shared" ref="S2:S463" si="3">IFERROR(IF(A3=A2, (I3-I2)/(B3-B2), ""), "null")</f>
        <v>2.667882638</v>
      </c>
      <c r="T2" s="2">
        <f t="shared" ref="T2:T463" si="4">IFERROR(IF(A3=A2, (M3-M2)/(B3-B2), ""), "null")</f>
        <v>2.668211856</v>
      </c>
      <c r="U2" s="2">
        <f t="shared" ref="U2:U463" si="5">IFERROR(ROUND(E2,0), "null")</f>
        <v>61</v>
      </c>
      <c r="V2" s="2">
        <f t="shared" ref="V2:V463" si="6">IFERROR(ROUND(I2,0),"null")</f>
        <v>53</v>
      </c>
      <c r="W2" s="2">
        <f t="shared" ref="W2:W463" si="7">IFERROR(ROUND(M2,0),"null")</f>
        <v>87</v>
      </c>
      <c r="X2" s="2" t="str">
        <f t="shared" ref="X2:X463" si="8">IF(AND(A3=A2,U2=100,U3=100),"full access","")</f>
        <v/>
      </c>
      <c r="Y2" s="2" t="str">
        <f t="shared" ref="Y2:Y463" si="9">IF(AND($A3=$A2,V2=100,V3=100),"full access","")</f>
        <v/>
      </c>
      <c r="Z2" s="2" t="str">
        <f t="shared" ref="Z2:Z463" si="10">IF(AND(A3=A2,W2=100,W3=100),"full access","")</f>
        <v/>
      </c>
      <c r="AA2" s="2">
        <f t="shared" ref="AA2:AA463" si="11">IFERROR(S2-T2,"null")</f>
        <v>-0.000329218</v>
      </c>
      <c r="AB2" s="2">
        <f t="shared" ref="AB2:AB463" si="12">IFERROR(ABS(S2-T2),"null")</f>
        <v>0.000329218</v>
      </c>
      <c r="AC2" s="2" t="str">
        <f>VLOOKUP(A2,Regions!$A$2:$B$233,2)</f>
        <v>South Asia</v>
      </c>
    </row>
    <row r="3">
      <c r="A3" s="1" t="s">
        <v>29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Q3" s="2" t="str">
        <f t="shared" si="1"/>
        <v/>
      </c>
      <c r="R3" s="2" t="str">
        <f t="shared" si="2"/>
        <v/>
      </c>
      <c r="S3" s="2" t="str">
        <f t="shared" si="3"/>
        <v/>
      </c>
      <c r="T3" s="2" t="str">
        <f t="shared" si="4"/>
        <v/>
      </c>
      <c r="U3" s="2">
        <f t="shared" si="5"/>
        <v>75</v>
      </c>
      <c r="V3" s="2">
        <f t="shared" si="6"/>
        <v>66</v>
      </c>
      <c r="W3" s="2">
        <f t="shared" si="7"/>
        <v>100</v>
      </c>
      <c r="X3" s="2" t="str">
        <f t="shared" si="8"/>
        <v/>
      </c>
      <c r="Y3" s="2" t="str">
        <f t="shared" si="9"/>
        <v/>
      </c>
      <c r="Z3" s="2" t="str">
        <f t="shared" si="10"/>
        <v/>
      </c>
      <c r="AA3" s="2">
        <f t="shared" si="11"/>
        <v>0</v>
      </c>
      <c r="AB3" s="2">
        <f t="shared" si="12"/>
        <v>0</v>
      </c>
      <c r="AC3" s="2" t="str">
        <f>VLOOKUP(A3,Regions!$A$2:$B$233,2)</f>
        <v>South Asia</v>
      </c>
    </row>
    <row r="4">
      <c r="A4" s="1" t="s">
        <v>30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2">
        <f t="shared" si="1"/>
        <v>5</v>
      </c>
      <c r="R4" s="2">
        <f t="shared" si="2"/>
        <v>0.334742698</v>
      </c>
      <c r="S4" s="2">
        <f t="shared" si="3"/>
        <v>0.69281669</v>
      </c>
      <c r="T4" s="2">
        <f t="shared" si="4"/>
        <v>0.043748432</v>
      </c>
      <c r="U4" s="2">
        <f t="shared" si="5"/>
        <v>93</v>
      </c>
      <c r="V4" s="2">
        <f t="shared" si="6"/>
        <v>91</v>
      </c>
      <c r="W4" s="2">
        <f t="shared" si="7"/>
        <v>95</v>
      </c>
      <c r="X4" s="2" t="str">
        <f t="shared" si="8"/>
        <v/>
      </c>
      <c r="Y4" s="2" t="str">
        <f t="shared" si="9"/>
        <v/>
      </c>
      <c r="Z4" s="2" t="str">
        <f t="shared" si="10"/>
        <v/>
      </c>
      <c r="AA4" s="2">
        <f t="shared" si="11"/>
        <v>0.649068258</v>
      </c>
      <c r="AB4" s="2">
        <f t="shared" si="12"/>
        <v>0.649068258</v>
      </c>
      <c r="AC4" s="2" t="str">
        <f>VLOOKUP(A4,Regions!$A$2:$B$233,2)</f>
        <v>Europe &amp; Central Asia</v>
      </c>
    </row>
    <row r="5">
      <c r="A5" s="1" t="s">
        <v>30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Q5" s="2" t="str">
        <f t="shared" si="1"/>
        <v/>
      </c>
      <c r="R5" s="2" t="str">
        <f t="shared" si="2"/>
        <v/>
      </c>
      <c r="S5" s="2" t="str">
        <f t="shared" si="3"/>
        <v/>
      </c>
      <c r="T5" s="2" t="str">
        <f t="shared" si="4"/>
        <v/>
      </c>
      <c r="U5" s="2">
        <f t="shared" si="5"/>
        <v>95</v>
      </c>
      <c r="V5" s="2">
        <f t="shared" si="6"/>
        <v>94</v>
      </c>
      <c r="W5" s="2">
        <f t="shared" si="7"/>
        <v>96</v>
      </c>
      <c r="X5" s="2" t="str">
        <f t="shared" si="8"/>
        <v/>
      </c>
      <c r="Y5" s="2" t="str">
        <f t="shared" si="9"/>
        <v/>
      </c>
      <c r="Z5" s="2" t="str">
        <f t="shared" si="10"/>
        <v/>
      </c>
      <c r="AA5" s="2">
        <f t="shared" si="11"/>
        <v>0</v>
      </c>
      <c r="AB5" s="2">
        <f t="shared" si="12"/>
        <v>0</v>
      </c>
      <c r="AC5" s="2" t="str">
        <f>VLOOKUP(A5,Regions!$A$2:$B$233,2)</f>
        <v>Europe &amp; Central Asia</v>
      </c>
    </row>
    <row r="6">
      <c r="A6" s="1" t="s">
        <v>31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2">
        <f t="shared" si="1"/>
        <v>5</v>
      </c>
      <c r="R6" s="2">
        <f t="shared" si="2"/>
        <v>0.205553686</v>
      </c>
      <c r="S6" s="2">
        <f t="shared" si="3"/>
        <v>0.33696621</v>
      </c>
      <c r="T6" s="2">
        <f t="shared" si="4"/>
        <v>0.102884232</v>
      </c>
      <c r="U6" s="2">
        <f t="shared" si="5"/>
        <v>93</v>
      </c>
      <c r="V6" s="2">
        <f t="shared" si="6"/>
        <v>88</v>
      </c>
      <c r="W6" s="2">
        <f t="shared" si="7"/>
        <v>95</v>
      </c>
      <c r="X6" s="2" t="str">
        <f t="shared" si="8"/>
        <v/>
      </c>
      <c r="Y6" s="2" t="str">
        <f t="shared" si="9"/>
        <v/>
      </c>
      <c r="Z6" s="2" t="str">
        <f t="shared" si="10"/>
        <v/>
      </c>
      <c r="AA6" s="2">
        <f t="shared" si="11"/>
        <v>0.234081978</v>
      </c>
      <c r="AB6" s="2">
        <f t="shared" si="12"/>
        <v>0.234081978</v>
      </c>
      <c r="AC6" s="2" t="str">
        <f>VLOOKUP(A6,Regions!$A$2:$B$233,2)</f>
        <v>Middle East &amp; North Africa</v>
      </c>
    </row>
    <row r="7">
      <c r="A7" s="1" t="s">
        <v>31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Q7" s="2" t="str">
        <f t="shared" si="1"/>
        <v/>
      </c>
      <c r="R7" s="2" t="str">
        <f t="shared" si="2"/>
        <v/>
      </c>
      <c r="S7" s="2" t="str">
        <f t="shared" si="3"/>
        <v/>
      </c>
      <c r="T7" s="2" t="str">
        <f t="shared" si="4"/>
        <v/>
      </c>
      <c r="U7" s="2">
        <f t="shared" si="5"/>
        <v>94</v>
      </c>
      <c r="V7" s="2">
        <f t="shared" si="6"/>
        <v>90</v>
      </c>
      <c r="W7" s="2">
        <f t="shared" si="7"/>
        <v>96</v>
      </c>
      <c r="X7" s="2" t="str">
        <f t="shared" si="8"/>
        <v/>
      </c>
      <c r="Y7" s="2" t="str">
        <f t="shared" si="9"/>
        <v/>
      </c>
      <c r="Z7" s="2" t="str">
        <f t="shared" si="10"/>
        <v/>
      </c>
      <c r="AA7" s="2">
        <f t="shared" si="11"/>
        <v>0</v>
      </c>
      <c r="AB7" s="2">
        <f t="shared" si="12"/>
        <v>0</v>
      </c>
      <c r="AC7" s="2" t="str">
        <f>VLOOKUP(A7,Regions!$A$2:$B$233,2)</f>
        <v>Middle East &amp; North Africa</v>
      </c>
    </row>
    <row r="8">
      <c r="A8" s="1" t="s">
        <v>32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2">
        <f t="shared" si="1"/>
        <v>5</v>
      </c>
      <c r="R8" s="2">
        <f t="shared" si="2"/>
        <v>0.030933702</v>
      </c>
      <c r="S8" s="2" t="str">
        <f t="shared" si="3"/>
        <v>null</v>
      </c>
      <c r="T8" s="2" t="str">
        <f t="shared" si="4"/>
        <v>null</v>
      </c>
      <c r="U8" s="2">
        <f t="shared" si="5"/>
        <v>100</v>
      </c>
      <c r="V8" s="2" t="str">
        <f t="shared" si="6"/>
        <v>null</v>
      </c>
      <c r="W8" s="2" t="str">
        <f t="shared" si="7"/>
        <v>null</v>
      </c>
      <c r="X8" s="2" t="str">
        <f t="shared" si="8"/>
        <v>full access</v>
      </c>
      <c r="Y8" s="2" t="str">
        <f t="shared" si="9"/>
        <v/>
      </c>
      <c r="Z8" s="2" t="str">
        <f t="shared" si="10"/>
        <v/>
      </c>
      <c r="AA8" s="2" t="str">
        <f t="shared" si="11"/>
        <v>null</v>
      </c>
      <c r="AB8" s="2" t="str">
        <f t="shared" si="12"/>
        <v>null</v>
      </c>
      <c r="AC8" s="2" t="str">
        <f>VLOOKUP(A8,Regions!$A$2:$B$233,2)</f>
        <v>East Asia &amp; Pacific</v>
      </c>
    </row>
    <row r="9">
      <c r="A9" s="1" t="s">
        <v>32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2" t="str">
        <f t="shared" si="1"/>
        <v/>
      </c>
      <c r="R9" s="2" t="str">
        <f t="shared" si="2"/>
        <v/>
      </c>
      <c r="S9" s="2" t="str">
        <f t="shared" si="3"/>
        <v/>
      </c>
      <c r="T9" s="2" t="str">
        <f t="shared" si="4"/>
        <v/>
      </c>
      <c r="U9" s="2">
        <f t="shared" si="5"/>
        <v>100</v>
      </c>
      <c r="V9" s="2" t="str">
        <f t="shared" si="6"/>
        <v>null</v>
      </c>
      <c r="W9" s="2" t="str">
        <f t="shared" si="7"/>
        <v>null</v>
      </c>
      <c r="X9" s="2" t="str">
        <f t="shared" si="8"/>
        <v/>
      </c>
      <c r="Y9" s="2" t="str">
        <f t="shared" si="9"/>
        <v/>
      </c>
      <c r="Z9" s="2" t="str">
        <f t="shared" si="10"/>
        <v/>
      </c>
      <c r="AA9" s="2">
        <f t="shared" si="11"/>
        <v>0</v>
      </c>
      <c r="AB9" s="2">
        <f t="shared" si="12"/>
        <v>0</v>
      </c>
      <c r="AC9" s="2" t="str">
        <f>VLOOKUP(A9,Regions!$A$2:$B$233,2)</f>
        <v>East Asia &amp; Pacific</v>
      </c>
    </row>
    <row r="10">
      <c r="A10" s="1" t="s">
        <v>34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2">
        <f t="shared" si="1"/>
        <v>5</v>
      </c>
      <c r="R10" s="2">
        <f t="shared" si="2"/>
        <v>0.000001229999998</v>
      </c>
      <c r="S10" s="2">
        <f t="shared" si="3"/>
        <v>0</v>
      </c>
      <c r="T10" s="2">
        <f t="shared" si="4"/>
        <v>0</v>
      </c>
      <c r="U10" s="2">
        <f t="shared" si="5"/>
        <v>100</v>
      </c>
      <c r="V10" s="2">
        <f t="shared" si="6"/>
        <v>100</v>
      </c>
      <c r="W10" s="2">
        <f t="shared" si="7"/>
        <v>100</v>
      </c>
      <c r="X10" s="2" t="str">
        <f t="shared" si="8"/>
        <v>full access</v>
      </c>
      <c r="Y10" s="2" t="str">
        <f t="shared" si="9"/>
        <v>full access</v>
      </c>
      <c r="Z10" s="2" t="str">
        <f t="shared" si="10"/>
        <v>full access</v>
      </c>
      <c r="AA10" s="2">
        <f t="shared" si="11"/>
        <v>0</v>
      </c>
      <c r="AB10" s="2">
        <f t="shared" si="12"/>
        <v>0</v>
      </c>
      <c r="AC10" s="2" t="str">
        <f>VLOOKUP(A10,Regions!$A$2:$B$233,2)</f>
        <v>Europe &amp; Central Asia</v>
      </c>
    </row>
    <row r="11">
      <c r="A11" s="1" t="s">
        <v>34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 t="str">
        <f t="shared" si="1"/>
        <v/>
      </c>
      <c r="R11" s="2" t="str">
        <f t="shared" si="2"/>
        <v/>
      </c>
      <c r="S11" s="2" t="str">
        <f t="shared" si="3"/>
        <v/>
      </c>
      <c r="T11" s="2" t="str">
        <f t="shared" si="4"/>
        <v/>
      </c>
      <c r="U11" s="2">
        <f t="shared" si="5"/>
        <v>100</v>
      </c>
      <c r="V11" s="2">
        <f t="shared" si="6"/>
        <v>100</v>
      </c>
      <c r="W11" s="2">
        <f t="shared" si="7"/>
        <v>100</v>
      </c>
      <c r="X11" s="2" t="str">
        <f t="shared" si="8"/>
        <v/>
      </c>
      <c r="Y11" s="2" t="str">
        <f t="shared" si="9"/>
        <v/>
      </c>
      <c r="Z11" s="2" t="str">
        <f t="shared" si="10"/>
        <v/>
      </c>
      <c r="AA11" s="2">
        <f t="shared" si="11"/>
        <v>0</v>
      </c>
      <c r="AB11" s="2">
        <f t="shared" si="12"/>
        <v>0</v>
      </c>
      <c r="AC11" s="2" t="str">
        <f>VLOOKUP(A11,Regions!$A$2:$B$233,2)</f>
        <v>Europe &amp; Central Asia</v>
      </c>
    </row>
    <row r="12">
      <c r="A12" s="1" t="s">
        <v>35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2">
        <f t="shared" si="1"/>
        <v>5</v>
      </c>
      <c r="R12" s="2">
        <f t="shared" si="2"/>
        <v>0.570161854</v>
      </c>
      <c r="S12" s="2">
        <f t="shared" si="3"/>
        <v>0.218771442</v>
      </c>
      <c r="T12" s="2">
        <f t="shared" si="4"/>
        <v>0.3046367</v>
      </c>
      <c r="U12" s="2">
        <f t="shared" si="5"/>
        <v>54</v>
      </c>
      <c r="V12" s="2">
        <f t="shared" si="6"/>
        <v>27</v>
      </c>
      <c r="W12" s="2">
        <f t="shared" si="7"/>
        <v>70</v>
      </c>
      <c r="X12" s="2" t="str">
        <f t="shared" si="8"/>
        <v/>
      </c>
      <c r="Y12" s="2" t="str">
        <f t="shared" si="9"/>
        <v/>
      </c>
      <c r="Z12" s="2" t="str">
        <f t="shared" si="10"/>
        <v/>
      </c>
      <c r="AA12" s="2">
        <f t="shared" si="11"/>
        <v>-0.085865258</v>
      </c>
      <c r="AB12" s="2">
        <f t="shared" si="12"/>
        <v>0.085865258</v>
      </c>
      <c r="AC12" s="2" t="str">
        <f>VLOOKUP(A12,Regions!$A$2:$B$233,2)</f>
        <v>Sub-Saharan Africa</v>
      </c>
    </row>
    <row r="13">
      <c r="A13" s="1" t="s">
        <v>35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Q13" s="2" t="str">
        <f t="shared" si="1"/>
        <v/>
      </c>
      <c r="R13" s="2" t="str">
        <f t="shared" si="2"/>
        <v/>
      </c>
      <c r="S13" s="2" t="str">
        <f t="shared" si="3"/>
        <v/>
      </c>
      <c r="T13" s="2" t="str">
        <f t="shared" si="4"/>
        <v/>
      </c>
      <c r="U13" s="2">
        <f t="shared" si="5"/>
        <v>57</v>
      </c>
      <c r="V13" s="2">
        <f t="shared" si="6"/>
        <v>28</v>
      </c>
      <c r="W13" s="2">
        <f t="shared" si="7"/>
        <v>72</v>
      </c>
      <c r="X13" s="2" t="str">
        <f t="shared" si="8"/>
        <v/>
      </c>
      <c r="Y13" s="2" t="str">
        <f t="shared" si="9"/>
        <v/>
      </c>
      <c r="Z13" s="2" t="str">
        <f t="shared" si="10"/>
        <v/>
      </c>
      <c r="AA13" s="2">
        <f t="shared" si="11"/>
        <v>0</v>
      </c>
      <c r="AB13" s="2">
        <f t="shared" si="12"/>
        <v>0</v>
      </c>
      <c r="AC13" s="2" t="str">
        <f>VLOOKUP(A13,Regions!$A$2:$B$233,2)</f>
        <v>Sub-Saharan Africa</v>
      </c>
    </row>
    <row r="14">
      <c r="A14" s="1" t="s">
        <v>36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>
        <v>2.517725753</v>
      </c>
      <c r="H14" s="1">
        <v>0.0</v>
      </c>
      <c r="I14" s="1" t="s">
        <v>33</v>
      </c>
      <c r="J14" s="1" t="s">
        <v>33</v>
      </c>
      <c r="K14" s="1" t="s">
        <v>33</v>
      </c>
      <c r="L14" s="1" t="s">
        <v>33</v>
      </c>
      <c r="M14" s="1">
        <v>97.48227425</v>
      </c>
      <c r="N14" s="1">
        <v>0.0</v>
      </c>
      <c r="O14" s="1">
        <v>2.517725753</v>
      </c>
      <c r="P14" s="1">
        <v>0.0</v>
      </c>
      <c r="Q14" s="2">
        <f t="shared" si="1"/>
        <v>2</v>
      </c>
      <c r="R14" s="2">
        <f t="shared" si="2"/>
        <v>0</v>
      </c>
      <c r="S14" s="2" t="str">
        <f t="shared" si="3"/>
        <v>null</v>
      </c>
      <c r="T14" s="2">
        <f t="shared" si="4"/>
        <v>0</v>
      </c>
      <c r="U14" s="2">
        <f t="shared" si="5"/>
        <v>97</v>
      </c>
      <c r="V14" s="2" t="str">
        <f t="shared" si="6"/>
        <v>null</v>
      </c>
      <c r="W14" s="2">
        <f t="shared" si="7"/>
        <v>97</v>
      </c>
      <c r="X14" s="2" t="str">
        <f t="shared" si="8"/>
        <v/>
      </c>
      <c r="Y14" s="2" t="str">
        <f t="shared" si="9"/>
        <v/>
      </c>
      <c r="Z14" s="2" t="str">
        <f t="shared" si="10"/>
        <v/>
      </c>
      <c r="AA14" s="2" t="str">
        <f t="shared" si="11"/>
        <v>null</v>
      </c>
      <c r="AB14" s="2" t="str">
        <f t="shared" si="12"/>
        <v>null</v>
      </c>
      <c r="AC14" s="2" t="str">
        <f>VLOOKUP(A14,Regions!$A$2:$B$233,2)</f>
        <v>Latin America &amp; Caribbean</v>
      </c>
    </row>
    <row r="15">
      <c r="A15" s="1" t="s">
        <v>36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33</v>
      </c>
      <c r="J15" s="1" t="s">
        <v>33</v>
      </c>
      <c r="K15" s="1" t="s">
        <v>33</v>
      </c>
      <c r="L15" s="1" t="s">
        <v>33</v>
      </c>
      <c r="M15" s="1">
        <v>97.48227425</v>
      </c>
      <c r="N15" s="1">
        <v>0.0</v>
      </c>
      <c r="O15" s="1">
        <v>2.517725753</v>
      </c>
      <c r="P15" s="1">
        <v>0.0</v>
      </c>
      <c r="Q15" s="2" t="str">
        <f t="shared" si="1"/>
        <v/>
      </c>
      <c r="R15" s="2" t="str">
        <f t="shared" si="2"/>
        <v/>
      </c>
      <c r="S15" s="2" t="str">
        <f t="shared" si="3"/>
        <v/>
      </c>
      <c r="T15" s="2" t="str">
        <f t="shared" si="4"/>
        <v/>
      </c>
      <c r="U15" s="2">
        <f t="shared" si="5"/>
        <v>97</v>
      </c>
      <c r="V15" s="2" t="str">
        <f t="shared" si="6"/>
        <v>null</v>
      </c>
      <c r="W15" s="2">
        <f t="shared" si="7"/>
        <v>97</v>
      </c>
      <c r="X15" s="2" t="str">
        <f t="shared" si="8"/>
        <v/>
      </c>
      <c r="Y15" s="2" t="str">
        <f t="shared" si="9"/>
        <v/>
      </c>
      <c r="Z15" s="2" t="str">
        <f t="shared" si="10"/>
        <v/>
      </c>
      <c r="AA15" s="2">
        <f t="shared" si="11"/>
        <v>0</v>
      </c>
      <c r="AB15" s="2">
        <f t="shared" si="12"/>
        <v>0</v>
      </c>
      <c r="AC15" s="2" t="str">
        <f>VLOOKUP(A15,Regions!$A$2:$B$233,2)</f>
        <v>Latin America &amp; Caribbean</v>
      </c>
    </row>
    <row r="16">
      <c r="A16" s="1" t="s">
        <v>37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2">
        <f t="shared" si="1"/>
        <v>2</v>
      </c>
      <c r="R16" s="2">
        <f t="shared" si="2"/>
        <v>0</v>
      </c>
      <c r="S16" s="2" t="str">
        <f t="shared" si="3"/>
        <v>null</v>
      </c>
      <c r="T16" s="2" t="str">
        <f t="shared" si="4"/>
        <v>null</v>
      </c>
      <c r="U16" s="2">
        <f t="shared" si="5"/>
        <v>97</v>
      </c>
      <c r="V16" s="2" t="str">
        <f t="shared" si="6"/>
        <v>null</v>
      </c>
      <c r="W16" s="2" t="str">
        <f t="shared" si="7"/>
        <v>null</v>
      </c>
      <c r="X16" s="2" t="str">
        <f t="shared" si="8"/>
        <v/>
      </c>
      <c r="Y16" s="2" t="str">
        <f t="shared" si="9"/>
        <v/>
      </c>
      <c r="Z16" s="2" t="str">
        <f t="shared" si="10"/>
        <v/>
      </c>
      <c r="AA16" s="2" t="str">
        <f t="shared" si="11"/>
        <v>null</v>
      </c>
      <c r="AB16" s="2" t="str">
        <f t="shared" si="12"/>
        <v>null</v>
      </c>
      <c r="AC16" s="2" t="str">
        <f>VLOOKUP(A16,Regions!$A$2:$B$233,2)</f>
        <v>Latin America &amp; Caribbean</v>
      </c>
    </row>
    <row r="17">
      <c r="A17" s="1" t="s">
        <v>37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2" t="str">
        <f t="shared" si="1"/>
        <v/>
      </c>
      <c r="R17" s="2" t="str">
        <f t="shared" si="2"/>
        <v/>
      </c>
      <c r="S17" s="2" t="str">
        <f t="shared" si="3"/>
        <v/>
      </c>
      <c r="T17" s="2" t="str">
        <f t="shared" si="4"/>
        <v/>
      </c>
      <c r="U17" s="2">
        <f t="shared" si="5"/>
        <v>97</v>
      </c>
      <c r="V17" s="2" t="str">
        <f t="shared" si="6"/>
        <v>null</v>
      </c>
      <c r="W17" s="2" t="str">
        <f t="shared" si="7"/>
        <v>null</v>
      </c>
      <c r="X17" s="2" t="str">
        <f t="shared" si="8"/>
        <v/>
      </c>
      <c r="Y17" s="2" t="str">
        <f t="shared" si="9"/>
        <v/>
      </c>
      <c r="Z17" s="2" t="str">
        <f t="shared" si="10"/>
        <v/>
      </c>
      <c r="AA17" s="2">
        <f t="shared" si="11"/>
        <v>0</v>
      </c>
      <c r="AB17" s="2">
        <f t="shared" si="12"/>
        <v>0</v>
      </c>
      <c r="AC17" s="2" t="str">
        <f>VLOOKUP(A17,Regions!$A$2:$B$233,2)</f>
        <v>Latin America &amp; Caribbean</v>
      </c>
    </row>
    <row r="18">
      <c r="A18" s="1" t="s">
        <v>38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2">
        <f t="shared" si="1"/>
        <v>5</v>
      </c>
      <c r="R18" s="2" t="str">
        <f t="shared" si="2"/>
        <v>null</v>
      </c>
      <c r="S18" s="2" t="str">
        <f t="shared" si="3"/>
        <v>null</v>
      </c>
      <c r="T18" s="2">
        <f t="shared" si="4"/>
        <v>0.05365152</v>
      </c>
      <c r="U18" s="2">
        <f t="shared" si="5"/>
        <v>99</v>
      </c>
      <c r="V18" s="2">
        <f t="shared" si="6"/>
        <v>93</v>
      </c>
      <c r="W18" s="2">
        <f t="shared" si="7"/>
        <v>100</v>
      </c>
      <c r="X18" s="2" t="str">
        <f t="shared" si="8"/>
        <v/>
      </c>
      <c r="Y18" s="2" t="str">
        <f t="shared" si="9"/>
        <v/>
      </c>
      <c r="Z18" s="2" t="str">
        <f t="shared" si="10"/>
        <v>full access</v>
      </c>
      <c r="AA18" s="2" t="str">
        <f t="shared" si="11"/>
        <v>null</v>
      </c>
      <c r="AB18" s="2" t="str">
        <f t="shared" si="12"/>
        <v>null</v>
      </c>
      <c r="AC18" s="2" t="str">
        <f>VLOOKUP(A18,Regions!$A$2:$B$233,2)</f>
        <v>Latin America &amp; Caribbean</v>
      </c>
    </row>
    <row r="19">
      <c r="A19" s="1" t="s">
        <v>38</v>
      </c>
      <c r="B19" s="1">
        <v>2020.0</v>
      </c>
      <c r="C19" s="1">
        <v>45195.77734</v>
      </c>
      <c r="D19" s="1">
        <v>92.11100006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>
        <v>99.79042065</v>
      </c>
      <c r="N19" s="1">
        <v>0.0</v>
      </c>
      <c r="O19" s="1">
        <v>0.2095793501</v>
      </c>
      <c r="P19" s="1">
        <v>0.0</v>
      </c>
      <c r="Q19" s="2" t="str">
        <f t="shared" si="1"/>
        <v/>
      </c>
      <c r="R19" s="2" t="str">
        <f t="shared" si="2"/>
        <v/>
      </c>
      <c r="S19" s="2" t="str">
        <f t="shared" si="3"/>
        <v/>
      </c>
      <c r="T19" s="2" t="str">
        <f t="shared" si="4"/>
        <v/>
      </c>
      <c r="U19" s="2" t="str">
        <f t="shared" si="5"/>
        <v>null</v>
      </c>
      <c r="V19" s="2" t="str">
        <f t="shared" si="6"/>
        <v>null</v>
      </c>
      <c r="W19" s="2">
        <f t="shared" si="7"/>
        <v>100</v>
      </c>
      <c r="X19" s="2" t="str">
        <f t="shared" si="8"/>
        <v/>
      </c>
      <c r="Y19" s="2" t="str">
        <f t="shared" si="9"/>
        <v/>
      </c>
      <c r="Z19" s="2" t="str">
        <f t="shared" si="10"/>
        <v/>
      </c>
      <c r="AA19" s="2">
        <f t="shared" si="11"/>
        <v>0</v>
      </c>
      <c r="AB19" s="2">
        <f t="shared" si="12"/>
        <v>0</v>
      </c>
      <c r="AC19" s="2" t="str">
        <f>VLOOKUP(A19,Regions!$A$2:$B$233,2)</f>
        <v>Latin America &amp; Caribbean</v>
      </c>
    </row>
    <row r="20">
      <c r="A20" s="1" t="s">
        <v>39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2">
        <f t="shared" si="1"/>
        <v>5</v>
      </c>
      <c r="R20" s="2">
        <f t="shared" si="2"/>
        <v>0.083722798</v>
      </c>
      <c r="S20" s="2">
        <f t="shared" si="3"/>
        <v>0.189044146</v>
      </c>
      <c r="T20" s="2">
        <f t="shared" si="4"/>
        <v>0.022125564</v>
      </c>
      <c r="U20" s="2">
        <f t="shared" si="5"/>
        <v>100</v>
      </c>
      <c r="V20" s="2">
        <f t="shared" si="6"/>
        <v>99</v>
      </c>
      <c r="W20" s="2">
        <f t="shared" si="7"/>
        <v>100</v>
      </c>
      <c r="X20" s="2" t="str">
        <f t="shared" si="8"/>
        <v>full access</v>
      </c>
      <c r="Y20" s="2" t="str">
        <f t="shared" si="9"/>
        <v/>
      </c>
      <c r="Z20" s="2" t="str">
        <f t="shared" si="10"/>
        <v>full access</v>
      </c>
      <c r="AA20" s="2">
        <f t="shared" si="11"/>
        <v>0.166918582</v>
      </c>
      <c r="AB20" s="2">
        <f t="shared" si="12"/>
        <v>0.166918582</v>
      </c>
      <c r="AC20" s="2" t="str">
        <f>VLOOKUP(A20,Regions!$A$2:$B$233,2)</f>
        <v>Europe &amp; Central Asia</v>
      </c>
    </row>
    <row r="21">
      <c r="A21" s="1" t="s">
        <v>39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Q21" s="2" t="str">
        <f t="shared" si="1"/>
        <v/>
      </c>
      <c r="R21" s="2" t="str">
        <f t="shared" si="2"/>
        <v/>
      </c>
      <c r="S21" s="2" t="str">
        <f t="shared" si="3"/>
        <v/>
      </c>
      <c r="T21" s="2" t="str">
        <f t="shared" si="4"/>
        <v/>
      </c>
      <c r="U21" s="2">
        <f t="shared" si="5"/>
        <v>100</v>
      </c>
      <c r="V21" s="2">
        <f t="shared" si="6"/>
        <v>100</v>
      </c>
      <c r="W21" s="2">
        <f t="shared" si="7"/>
        <v>100</v>
      </c>
      <c r="X21" s="2" t="str">
        <f t="shared" si="8"/>
        <v/>
      </c>
      <c r="Y21" s="2" t="str">
        <f t="shared" si="9"/>
        <v/>
      </c>
      <c r="Z21" s="2" t="str">
        <f t="shared" si="10"/>
        <v/>
      </c>
      <c r="AA21" s="2">
        <f t="shared" si="11"/>
        <v>0</v>
      </c>
      <c r="AB21" s="2">
        <f t="shared" si="12"/>
        <v>0</v>
      </c>
      <c r="AC21" s="2" t="str">
        <f>VLOOKUP(A21,Regions!$A$2:$B$233,2)</f>
        <v>Europe &amp; Central Asia</v>
      </c>
    </row>
    <row r="22">
      <c r="A22" s="1" t="s">
        <v>40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2">
        <f t="shared" si="1"/>
        <v>1</v>
      </c>
      <c r="R22" s="2">
        <f t="shared" si="2"/>
        <v>0</v>
      </c>
      <c r="S22" s="2" t="str">
        <f t="shared" si="3"/>
        <v>null</v>
      </c>
      <c r="T22" s="2" t="str">
        <f t="shared" si="4"/>
        <v>null</v>
      </c>
      <c r="U22" s="2">
        <f t="shared" si="5"/>
        <v>98</v>
      </c>
      <c r="V22" s="2" t="str">
        <f t="shared" si="6"/>
        <v>null</v>
      </c>
      <c r="W22" s="2" t="str">
        <f t="shared" si="7"/>
        <v>null</v>
      </c>
      <c r="X22" s="2" t="str">
        <f t="shared" si="8"/>
        <v/>
      </c>
      <c r="Y22" s="2" t="str">
        <f t="shared" si="9"/>
        <v/>
      </c>
      <c r="Z22" s="2" t="str">
        <f t="shared" si="10"/>
        <v/>
      </c>
      <c r="AA22" s="2" t="str">
        <f t="shared" si="11"/>
        <v>null</v>
      </c>
      <c r="AB22" s="2" t="str">
        <f t="shared" si="12"/>
        <v>null</v>
      </c>
      <c r="AC22" s="2" t="str">
        <f>VLOOKUP(A22,Regions!$A$2:$B$233,2)</f>
        <v>Latin America &amp; Caribbean</v>
      </c>
    </row>
    <row r="23">
      <c r="A23" s="1" t="s">
        <v>40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2" t="str">
        <f t="shared" si="1"/>
        <v/>
      </c>
      <c r="R23" s="2" t="str">
        <f t="shared" si="2"/>
        <v/>
      </c>
      <c r="S23" s="2" t="str">
        <f t="shared" si="3"/>
        <v/>
      </c>
      <c r="T23" s="2" t="str">
        <f t="shared" si="4"/>
        <v/>
      </c>
      <c r="U23" s="2">
        <f t="shared" si="5"/>
        <v>98</v>
      </c>
      <c r="V23" s="2" t="str">
        <f t="shared" si="6"/>
        <v>null</v>
      </c>
      <c r="W23" s="2" t="str">
        <f t="shared" si="7"/>
        <v>null</v>
      </c>
      <c r="X23" s="2" t="str">
        <f t="shared" si="8"/>
        <v/>
      </c>
      <c r="Y23" s="2" t="str">
        <f t="shared" si="9"/>
        <v/>
      </c>
      <c r="Z23" s="2" t="str">
        <f t="shared" si="10"/>
        <v/>
      </c>
      <c r="AA23" s="2">
        <f t="shared" si="11"/>
        <v>0</v>
      </c>
      <c r="AB23" s="2">
        <f t="shared" si="12"/>
        <v>0</v>
      </c>
      <c r="AC23" s="2" t="str">
        <f>VLOOKUP(A23,Regions!$A$2:$B$233,2)</f>
        <v>Latin America &amp; Caribbean</v>
      </c>
    </row>
    <row r="24">
      <c r="A24" s="1" t="s">
        <v>41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2">
        <f t="shared" si="1"/>
        <v>5</v>
      </c>
      <c r="R24" s="2">
        <f t="shared" si="2"/>
        <v>-0.00003877</v>
      </c>
      <c r="S24" s="2">
        <f t="shared" si="3"/>
        <v>0</v>
      </c>
      <c r="T24" s="2">
        <f t="shared" si="4"/>
        <v>0</v>
      </c>
      <c r="U24" s="2">
        <f t="shared" si="5"/>
        <v>100</v>
      </c>
      <c r="V24" s="2">
        <f t="shared" si="6"/>
        <v>100</v>
      </c>
      <c r="W24" s="2">
        <f t="shared" si="7"/>
        <v>100</v>
      </c>
      <c r="X24" s="2" t="str">
        <f t="shared" si="8"/>
        <v>full access</v>
      </c>
      <c r="Y24" s="2" t="str">
        <f t="shared" si="9"/>
        <v>full access</v>
      </c>
      <c r="Z24" s="2" t="str">
        <f t="shared" si="10"/>
        <v>full access</v>
      </c>
      <c r="AA24" s="2">
        <f t="shared" si="11"/>
        <v>0</v>
      </c>
      <c r="AB24" s="2">
        <f t="shared" si="12"/>
        <v>0</v>
      </c>
      <c r="AC24" s="2" t="str">
        <f>VLOOKUP(A24,Regions!$A$2:$B$233,2)</f>
        <v>East Asia &amp; Pacific</v>
      </c>
    </row>
    <row r="25">
      <c r="A25" s="1" t="s">
        <v>41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Q25" s="2" t="str">
        <f t="shared" si="1"/>
        <v/>
      </c>
      <c r="R25" s="2" t="str">
        <f t="shared" si="2"/>
        <v/>
      </c>
      <c r="S25" s="2" t="str">
        <f t="shared" si="3"/>
        <v/>
      </c>
      <c r="T25" s="2" t="str">
        <f t="shared" si="4"/>
        <v/>
      </c>
      <c r="U25" s="2">
        <f t="shared" si="5"/>
        <v>100</v>
      </c>
      <c r="V25" s="2">
        <f t="shared" si="6"/>
        <v>100</v>
      </c>
      <c r="W25" s="2">
        <f t="shared" si="7"/>
        <v>100</v>
      </c>
      <c r="X25" s="2" t="str">
        <f t="shared" si="8"/>
        <v/>
      </c>
      <c r="Y25" s="2" t="str">
        <f t="shared" si="9"/>
        <v/>
      </c>
      <c r="Z25" s="2" t="str">
        <f t="shared" si="10"/>
        <v/>
      </c>
      <c r="AA25" s="2">
        <f t="shared" si="11"/>
        <v>0</v>
      </c>
      <c r="AB25" s="2">
        <f t="shared" si="12"/>
        <v>0</v>
      </c>
      <c r="AC25" s="2" t="str">
        <f>VLOOKUP(A25,Regions!$A$2:$B$233,2)</f>
        <v>East Asia &amp; Pacific</v>
      </c>
    </row>
    <row r="26">
      <c r="A26" s="1" t="s">
        <v>42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5</v>
      </c>
      <c r="R26" s="2">
        <f t="shared" si="2"/>
        <v>0</v>
      </c>
      <c r="S26" s="2">
        <f t="shared" si="3"/>
        <v>0</v>
      </c>
      <c r="T26" s="2">
        <f t="shared" si="4"/>
        <v>0</v>
      </c>
      <c r="U26" s="2">
        <f t="shared" si="5"/>
        <v>100</v>
      </c>
      <c r="V26" s="2">
        <f t="shared" si="6"/>
        <v>100</v>
      </c>
      <c r="W26" s="2">
        <f t="shared" si="7"/>
        <v>100</v>
      </c>
      <c r="X26" s="2" t="str">
        <f t="shared" si="8"/>
        <v>full access</v>
      </c>
      <c r="Y26" s="2" t="str">
        <f t="shared" si="9"/>
        <v>full access</v>
      </c>
      <c r="Z26" s="2" t="str">
        <f t="shared" si="10"/>
        <v>full access</v>
      </c>
      <c r="AA26" s="2">
        <f t="shared" si="11"/>
        <v>0</v>
      </c>
      <c r="AB26" s="2">
        <f t="shared" si="12"/>
        <v>0</v>
      </c>
      <c r="AC26" s="2" t="str">
        <f>VLOOKUP(A26,Regions!$A$2:$B$233,2)</f>
        <v>Europe &amp; Central Asia</v>
      </c>
    </row>
    <row r="27">
      <c r="A27" s="1" t="s">
        <v>42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Q27" s="2" t="str">
        <f t="shared" si="1"/>
        <v/>
      </c>
      <c r="R27" s="2" t="str">
        <f t="shared" si="2"/>
        <v/>
      </c>
      <c r="S27" s="2" t="str">
        <f t="shared" si="3"/>
        <v/>
      </c>
      <c r="T27" s="2" t="str">
        <f t="shared" si="4"/>
        <v/>
      </c>
      <c r="U27" s="2">
        <f t="shared" si="5"/>
        <v>100</v>
      </c>
      <c r="V27" s="2">
        <f t="shared" si="6"/>
        <v>100</v>
      </c>
      <c r="W27" s="2">
        <f t="shared" si="7"/>
        <v>100</v>
      </c>
      <c r="X27" s="2" t="str">
        <f t="shared" si="8"/>
        <v/>
      </c>
      <c r="Y27" s="2" t="str">
        <f t="shared" si="9"/>
        <v/>
      </c>
      <c r="Z27" s="2" t="str">
        <f t="shared" si="10"/>
        <v/>
      </c>
      <c r="AA27" s="2">
        <f t="shared" si="11"/>
        <v>0</v>
      </c>
      <c r="AB27" s="2">
        <f t="shared" si="12"/>
        <v>0</v>
      </c>
      <c r="AC27" s="2" t="str">
        <f>VLOOKUP(A27,Regions!$A$2:$B$233,2)</f>
        <v>Europe &amp; Central Asia</v>
      </c>
    </row>
    <row r="28">
      <c r="A28" s="1" t="s">
        <v>43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2">
        <f t="shared" si="1"/>
        <v>5</v>
      </c>
      <c r="R28" s="2">
        <f t="shared" si="2"/>
        <v>0.72461243</v>
      </c>
      <c r="S28" s="2">
        <f t="shared" si="3"/>
        <v>1.356516936</v>
      </c>
      <c r="T28" s="2">
        <f t="shared" si="4"/>
        <v>0.145769594</v>
      </c>
      <c r="U28" s="2">
        <f t="shared" si="5"/>
        <v>92</v>
      </c>
      <c r="V28" s="2">
        <f t="shared" si="6"/>
        <v>84</v>
      </c>
      <c r="W28" s="2">
        <f t="shared" si="7"/>
        <v>99</v>
      </c>
      <c r="X28" s="2" t="str">
        <f t="shared" si="8"/>
        <v/>
      </c>
      <c r="Y28" s="2" t="str">
        <f t="shared" si="9"/>
        <v/>
      </c>
      <c r="Z28" s="2" t="str">
        <f t="shared" si="10"/>
        <v/>
      </c>
      <c r="AA28" s="2">
        <f t="shared" si="11"/>
        <v>1.210747342</v>
      </c>
      <c r="AB28" s="2">
        <f t="shared" si="12"/>
        <v>1.210747342</v>
      </c>
      <c r="AC28" s="2" t="str">
        <f>VLOOKUP(A28,Regions!$A$2:$B$233,2)</f>
        <v>Europe &amp; Central Asia</v>
      </c>
    </row>
    <row r="29">
      <c r="A29" s="1" t="s">
        <v>43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Q29" s="2" t="str">
        <f t="shared" si="1"/>
        <v/>
      </c>
      <c r="R29" s="2" t="str">
        <f t="shared" si="2"/>
        <v/>
      </c>
      <c r="S29" s="2" t="str">
        <f t="shared" si="3"/>
        <v/>
      </c>
      <c r="T29" s="2" t="str">
        <f t="shared" si="4"/>
        <v/>
      </c>
      <c r="U29" s="2">
        <f t="shared" si="5"/>
        <v>96</v>
      </c>
      <c r="V29" s="2">
        <f t="shared" si="6"/>
        <v>91</v>
      </c>
      <c r="W29" s="2">
        <f t="shared" si="7"/>
        <v>100</v>
      </c>
      <c r="X29" s="2" t="str">
        <f t="shared" si="8"/>
        <v/>
      </c>
      <c r="Y29" s="2" t="str">
        <f t="shared" si="9"/>
        <v/>
      </c>
      <c r="Z29" s="2" t="str">
        <f t="shared" si="10"/>
        <v/>
      </c>
      <c r="AA29" s="2">
        <f t="shared" si="11"/>
        <v>0</v>
      </c>
      <c r="AB29" s="2">
        <f t="shared" si="12"/>
        <v>0</v>
      </c>
      <c r="AC29" s="2" t="str">
        <f>VLOOKUP(A29,Regions!$A$2:$B$233,2)</f>
        <v>Europe &amp; Central Asia</v>
      </c>
    </row>
    <row r="30">
      <c r="A30" s="1" t="s">
        <v>44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2">
        <f t="shared" si="1"/>
        <v>4</v>
      </c>
      <c r="R30" s="2">
        <f t="shared" si="2"/>
        <v>0</v>
      </c>
      <c r="S30" s="2" t="str">
        <f t="shared" si="3"/>
        <v>null</v>
      </c>
      <c r="T30" s="2" t="str">
        <f t="shared" si="4"/>
        <v>null</v>
      </c>
      <c r="U30" s="2">
        <f t="shared" si="5"/>
        <v>99</v>
      </c>
      <c r="V30" s="2" t="str">
        <f t="shared" si="6"/>
        <v>null</v>
      </c>
      <c r="W30" s="2" t="str">
        <f t="shared" si="7"/>
        <v>null</v>
      </c>
      <c r="X30" s="2" t="str">
        <f t="shared" si="8"/>
        <v/>
      </c>
      <c r="Y30" s="2" t="str">
        <f t="shared" si="9"/>
        <v/>
      </c>
      <c r="Z30" s="2" t="str">
        <f t="shared" si="10"/>
        <v/>
      </c>
      <c r="AA30" s="2" t="str">
        <f t="shared" si="11"/>
        <v>null</v>
      </c>
      <c r="AB30" s="2" t="str">
        <f t="shared" si="12"/>
        <v>null</v>
      </c>
      <c r="AC30" s="2" t="str">
        <f>VLOOKUP(A30,Regions!$A$2:$B$233,2)</f>
        <v>Latin America &amp; Caribbean</v>
      </c>
    </row>
    <row r="31">
      <c r="A31" s="1" t="s">
        <v>44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2" t="str">
        <f t="shared" si="1"/>
        <v/>
      </c>
      <c r="R31" s="2" t="str">
        <f t="shared" si="2"/>
        <v/>
      </c>
      <c r="S31" s="2" t="str">
        <f t="shared" si="3"/>
        <v/>
      </c>
      <c r="T31" s="2" t="str">
        <f t="shared" si="4"/>
        <v/>
      </c>
      <c r="U31" s="2">
        <f t="shared" si="5"/>
        <v>99</v>
      </c>
      <c r="V31" s="2" t="str">
        <f t="shared" si="6"/>
        <v>null</v>
      </c>
      <c r="W31" s="2" t="str">
        <f t="shared" si="7"/>
        <v>null</v>
      </c>
      <c r="X31" s="2" t="str">
        <f t="shared" si="8"/>
        <v/>
      </c>
      <c r="Y31" s="2" t="str">
        <f t="shared" si="9"/>
        <v/>
      </c>
      <c r="Z31" s="2" t="str">
        <f t="shared" si="10"/>
        <v/>
      </c>
      <c r="AA31" s="2">
        <f t="shared" si="11"/>
        <v>0</v>
      </c>
      <c r="AB31" s="2">
        <f t="shared" si="12"/>
        <v>0</v>
      </c>
      <c r="AC31" s="2" t="str">
        <f>VLOOKUP(A31,Regions!$A$2:$B$233,2)</f>
        <v>Latin America &amp; Caribbean</v>
      </c>
    </row>
    <row r="32">
      <c r="A32" s="1" t="s">
        <v>45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2">
        <f t="shared" si="1"/>
        <v>5</v>
      </c>
      <c r="R32" s="2">
        <f t="shared" si="2"/>
        <v>0</v>
      </c>
      <c r="S32" s="2" t="str">
        <f t="shared" si="3"/>
        <v>null</v>
      </c>
      <c r="T32" s="2" t="str">
        <f t="shared" si="4"/>
        <v>null</v>
      </c>
      <c r="U32" s="2">
        <f t="shared" si="5"/>
        <v>100</v>
      </c>
      <c r="V32" s="2" t="str">
        <f t="shared" si="6"/>
        <v>null</v>
      </c>
      <c r="W32" s="2" t="str">
        <f t="shared" si="7"/>
        <v>null</v>
      </c>
      <c r="X32" s="2" t="str">
        <f t="shared" si="8"/>
        <v>full access</v>
      </c>
      <c r="Y32" s="2" t="str">
        <f t="shared" si="9"/>
        <v/>
      </c>
      <c r="Z32" s="2" t="str">
        <f t="shared" si="10"/>
        <v/>
      </c>
      <c r="AA32" s="2" t="str">
        <f t="shared" si="11"/>
        <v>null</v>
      </c>
      <c r="AB32" s="2" t="str">
        <f t="shared" si="12"/>
        <v>null</v>
      </c>
      <c r="AC32" s="2" t="str">
        <f>VLOOKUP(A32,Regions!$A$2:$B$233,2)</f>
        <v>Europe &amp; Central Asia</v>
      </c>
    </row>
    <row r="33">
      <c r="A33" s="1" t="s">
        <v>45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2" t="str">
        <f t="shared" si="1"/>
        <v/>
      </c>
      <c r="R33" s="2" t="str">
        <f t="shared" si="2"/>
        <v/>
      </c>
      <c r="S33" s="2" t="str">
        <f t="shared" si="3"/>
        <v/>
      </c>
      <c r="T33" s="2" t="str">
        <f t="shared" si="4"/>
        <v/>
      </c>
      <c r="U33" s="2">
        <f t="shared" si="5"/>
        <v>100</v>
      </c>
      <c r="V33" s="2" t="str">
        <f t="shared" si="6"/>
        <v>null</v>
      </c>
      <c r="W33" s="2" t="str">
        <f t="shared" si="7"/>
        <v>null</v>
      </c>
      <c r="X33" s="2" t="str">
        <f t="shared" si="8"/>
        <v/>
      </c>
      <c r="Y33" s="2" t="str">
        <f t="shared" si="9"/>
        <v/>
      </c>
      <c r="Z33" s="2" t="str">
        <f t="shared" si="10"/>
        <v/>
      </c>
      <c r="AA33" s="2">
        <f t="shared" si="11"/>
        <v>0</v>
      </c>
      <c r="AB33" s="2">
        <f t="shared" si="12"/>
        <v>0</v>
      </c>
      <c r="AC33" s="2" t="str">
        <f>VLOOKUP(A33,Regions!$A$2:$B$233,2)</f>
        <v>Europe &amp; Central Asia</v>
      </c>
    </row>
    <row r="34">
      <c r="A34" s="1" t="s">
        <v>46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2">
        <f t="shared" si="1"/>
        <v>5</v>
      </c>
      <c r="R34" s="2">
        <f t="shared" si="2"/>
        <v>0.119271556</v>
      </c>
      <c r="S34" s="2">
        <f t="shared" si="3"/>
        <v>0.221445296</v>
      </c>
      <c r="T34" s="2">
        <f t="shared" si="4"/>
        <v>-0.065600342</v>
      </c>
      <c r="U34" s="2">
        <f t="shared" si="5"/>
        <v>97</v>
      </c>
      <c r="V34" s="2">
        <f t="shared" si="6"/>
        <v>97</v>
      </c>
      <c r="W34" s="2">
        <f t="shared" si="7"/>
        <v>98</v>
      </c>
      <c r="X34" s="2" t="str">
        <f t="shared" si="8"/>
        <v/>
      </c>
      <c r="Y34" s="2" t="str">
        <f t="shared" si="9"/>
        <v/>
      </c>
      <c r="Z34" s="2" t="str">
        <f t="shared" si="10"/>
        <v/>
      </c>
      <c r="AA34" s="2">
        <f t="shared" si="11"/>
        <v>0.287045638</v>
      </c>
      <c r="AB34" s="2">
        <f t="shared" si="12"/>
        <v>0.287045638</v>
      </c>
      <c r="AC34" s="2" t="str">
        <f>VLOOKUP(A34,Regions!$A$2:$B$233,2)</f>
        <v>South Asia</v>
      </c>
    </row>
    <row r="35">
      <c r="A35" s="1" t="s">
        <v>46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Q35" s="2" t="str">
        <f t="shared" si="1"/>
        <v/>
      </c>
      <c r="R35" s="2" t="str">
        <f t="shared" si="2"/>
        <v/>
      </c>
      <c r="S35" s="2" t="str">
        <f t="shared" si="3"/>
        <v/>
      </c>
      <c r="T35" s="2" t="str">
        <f t="shared" si="4"/>
        <v/>
      </c>
      <c r="U35" s="2">
        <f t="shared" si="5"/>
        <v>98</v>
      </c>
      <c r="V35" s="2">
        <f t="shared" si="6"/>
        <v>98</v>
      </c>
      <c r="W35" s="2">
        <f t="shared" si="7"/>
        <v>97</v>
      </c>
      <c r="X35" s="2" t="str">
        <f t="shared" si="8"/>
        <v/>
      </c>
      <c r="Y35" s="2" t="str">
        <f t="shared" si="9"/>
        <v/>
      </c>
      <c r="Z35" s="2" t="str">
        <f t="shared" si="10"/>
        <v/>
      </c>
      <c r="AA35" s="2">
        <f t="shared" si="11"/>
        <v>0</v>
      </c>
      <c r="AB35" s="2">
        <f t="shared" si="12"/>
        <v>0</v>
      </c>
      <c r="AC35" s="2" t="str">
        <f>VLOOKUP(A35,Regions!$A$2:$B$233,2)</f>
        <v>South Asia</v>
      </c>
    </row>
    <row r="36">
      <c r="A36" s="1" t="s">
        <v>47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2">
        <f t="shared" si="1"/>
        <v>5</v>
      </c>
      <c r="R36" s="2">
        <f t="shared" si="2"/>
        <v>0.008001136</v>
      </c>
      <c r="S36" s="2" t="str">
        <f t="shared" si="3"/>
        <v>null</v>
      </c>
      <c r="T36" s="2" t="str">
        <f t="shared" si="4"/>
        <v>null</v>
      </c>
      <c r="U36" s="2">
        <f t="shared" si="5"/>
        <v>98</v>
      </c>
      <c r="V36" s="2" t="str">
        <f t="shared" si="6"/>
        <v>null</v>
      </c>
      <c r="W36" s="2" t="str">
        <f t="shared" si="7"/>
        <v>null</v>
      </c>
      <c r="X36" s="2" t="str">
        <f t="shared" si="8"/>
        <v/>
      </c>
      <c r="Y36" s="2" t="str">
        <f t="shared" si="9"/>
        <v/>
      </c>
      <c r="Z36" s="2" t="str">
        <f t="shared" si="10"/>
        <v/>
      </c>
      <c r="AA36" s="2" t="str">
        <f t="shared" si="11"/>
        <v>null</v>
      </c>
      <c r="AB36" s="2" t="str">
        <f t="shared" si="12"/>
        <v>null</v>
      </c>
      <c r="AC36" s="2" t="str">
        <f>VLOOKUP(A36,Regions!$A$2:$B$233,2)</f>
        <v>Latin America &amp; Caribbean</v>
      </c>
    </row>
    <row r="37">
      <c r="A37" s="1" t="s">
        <v>47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2" t="str">
        <f t="shared" si="1"/>
        <v/>
      </c>
      <c r="R37" s="2" t="str">
        <f t="shared" si="2"/>
        <v/>
      </c>
      <c r="S37" s="2" t="str">
        <f t="shared" si="3"/>
        <v/>
      </c>
      <c r="T37" s="2" t="str">
        <f t="shared" si="4"/>
        <v/>
      </c>
      <c r="U37" s="2">
        <f t="shared" si="5"/>
        <v>99</v>
      </c>
      <c r="V37" s="2" t="str">
        <f t="shared" si="6"/>
        <v>null</v>
      </c>
      <c r="W37" s="2" t="str">
        <f t="shared" si="7"/>
        <v>null</v>
      </c>
      <c r="X37" s="2" t="str">
        <f t="shared" si="8"/>
        <v/>
      </c>
      <c r="Y37" s="2" t="str">
        <f t="shared" si="9"/>
        <v/>
      </c>
      <c r="Z37" s="2" t="str">
        <f t="shared" si="10"/>
        <v/>
      </c>
      <c r="AA37" s="2">
        <f t="shared" si="11"/>
        <v>0</v>
      </c>
      <c r="AB37" s="2">
        <f t="shared" si="12"/>
        <v>0</v>
      </c>
      <c r="AC37" s="2" t="str">
        <f>VLOOKUP(A37,Regions!$A$2:$B$233,2)</f>
        <v>Latin America &amp; Caribbean</v>
      </c>
    </row>
    <row r="38">
      <c r="A38" s="1" t="s">
        <v>48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2">
        <f t="shared" si="1"/>
        <v>5</v>
      </c>
      <c r="R38" s="2">
        <f t="shared" si="2"/>
        <v>0.011531798</v>
      </c>
      <c r="S38" s="2">
        <f t="shared" si="3"/>
        <v>0.046690142</v>
      </c>
      <c r="T38" s="2">
        <f t="shared" si="4"/>
        <v>0.016367688</v>
      </c>
      <c r="U38" s="2">
        <f t="shared" si="5"/>
        <v>96</v>
      </c>
      <c r="V38" s="2">
        <f t="shared" si="6"/>
        <v>98</v>
      </c>
      <c r="W38" s="2">
        <f t="shared" si="7"/>
        <v>96</v>
      </c>
      <c r="X38" s="2" t="str">
        <f t="shared" si="8"/>
        <v/>
      </c>
      <c r="Y38" s="2" t="str">
        <f t="shared" si="9"/>
        <v/>
      </c>
      <c r="Z38" s="2" t="str">
        <f t="shared" si="10"/>
        <v/>
      </c>
      <c r="AA38" s="2">
        <f t="shared" si="11"/>
        <v>0.030322454</v>
      </c>
      <c r="AB38" s="2">
        <f t="shared" si="12"/>
        <v>0.030322454</v>
      </c>
      <c r="AC38" s="2" t="str">
        <f>VLOOKUP(A38,Regions!$A$2:$B$233,2)</f>
        <v>Europe &amp; Central Asia</v>
      </c>
    </row>
    <row r="39">
      <c r="A39" s="1" t="s">
        <v>48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Q39" s="2" t="str">
        <f t="shared" si="1"/>
        <v/>
      </c>
      <c r="R39" s="2" t="str">
        <f t="shared" si="2"/>
        <v/>
      </c>
      <c r="S39" s="2" t="str">
        <f t="shared" si="3"/>
        <v/>
      </c>
      <c r="T39" s="2" t="str">
        <f t="shared" si="4"/>
        <v/>
      </c>
      <c r="U39" s="2">
        <f t="shared" si="5"/>
        <v>97</v>
      </c>
      <c r="V39" s="2">
        <f t="shared" si="6"/>
        <v>99</v>
      </c>
      <c r="W39" s="2">
        <f t="shared" si="7"/>
        <v>96</v>
      </c>
      <c r="X39" s="2" t="str">
        <f t="shared" si="8"/>
        <v/>
      </c>
      <c r="Y39" s="2" t="str">
        <f t="shared" si="9"/>
        <v/>
      </c>
      <c r="Z39" s="2" t="str">
        <f t="shared" si="10"/>
        <v/>
      </c>
      <c r="AA39" s="2">
        <f t="shared" si="11"/>
        <v>0</v>
      </c>
      <c r="AB39" s="2">
        <f t="shared" si="12"/>
        <v>0</v>
      </c>
      <c r="AC39" s="2" t="str">
        <f>VLOOKUP(A39,Regions!$A$2:$B$233,2)</f>
        <v>Europe &amp; Central Asia</v>
      </c>
    </row>
    <row r="40">
      <c r="A40" s="1" t="s">
        <v>49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2">
        <f t="shared" si="1"/>
        <v>5</v>
      </c>
      <c r="R40" s="2">
        <f t="shared" si="2"/>
        <v>-0.0000002499999994</v>
      </c>
      <c r="S40" s="2">
        <f t="shared" si="3"/>
        <v>0</v>
      </c>
      <c r="T40" s="2">
        <f t="shared" si="4"/>
        <v>0</v>
      </c>
      <c r="U40" s="2">
        <f t="shared" si="5"/>
        <v>100</v>
      </c>
      <c r="V40" s="2">
        <f t="shared" si="6"/>
        <v>100</v>
      </c>
      <c r="W40" s="2">
        <f t="shared" si="7"/>
        <v>100</v>
      </c>
      <c r="X40" s="2" t="str">
        <f t="shared" si="8"/>
        <v>full access</v>
      </c>
      <c r="Y40" s="2" t="str">
        <f t="shared" si="9"/>
        <v>full access</v>
      </c>
      <c r="Z40" s="2" t="str">
        <f t="shared" si="10"/>
        <v>full access</v>
      </c>
      <c r="AA40" s="2">
        <f t="shared" si="11"/>
        <v>0</v>
      </c>
      <c r="AB40" s="2">
        <f t="shared" si="12"/>
        <v>0</v>
      </c>
      <c r="AC40" s="2" t="str">
        <f>VLOOKUP(A40,Regions!$A$2:$B$233,2)</f>
        <v>Europe &amp; Central Asia</v>
      </c>
    </row>
    <row r="41">
      <c r="A41" s="1" t="s">
        <v>49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 t="str">
        <f t="shared" si="1"/>
        <v/>
      </c>
      <c r="R41" s="2" t="str">
        <f t="shared" si="2"/>
        <v/>
      </c>
      <c r="S41" s="2" t="str">
        <f t="shared" si="3"/>
        <v/>
      </c>
      <c r="T41" s="2" t="str">
        <f t="shared" si="4"/>
        <v/>
      </c>
      <c r="U41" s="2">
        <f t="shared" si="5"/>
        <v>100</v>
      </c>
      <c r="V41" s="2">
        <f t="shared" si="6"/>
        <v>100</v>
      </c>
      <c r="W41" s="2">
        <f t="shared" si="7"/>
        <v>100</v>
      </c>
      <c r="X41" s="2" t="str">
        <f t="shared" si="8"/>
        <v/>
      </c>
      <c r="Y41" s="2" t="str">
        <f t="shared" si="9"/>
        <v/>
      </c>
      <c r="Z41" s="2" t="str">
        <f t="shared" si="10"/>
        <v/>
      </c>
      <c r="AA41" s="2">
        <f t="shared" si="11"/>
        <v>0</v>
      </c>
      <c r="AB41" s="2">
        <f t="shared" si="12"/>
        <v>0</v>
      </c>
      <c r="AC41" s="2" t="str">
        <f>VLOOKUP(A41,Regions!$A$2:$B$233,2)</f>
        <v>Europe &amp; Central Asia</v>
      </c>
    </row>
    <row r="42">
      <c r="A42" s="1" t="s">
        <v>50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2">
        <f t="shared" si="1"/>
        <v>5</v>
      </c>
      <c r="R42" s="2">
        <f t="shared" si="2"/>
        <v>0.24527193</v>
      </c>
      <c r="S42" s="2">
        <f t="shared" si="3"/>
        <v>0.468275104</v>
      </c>
      <c r="T42" s="2">
        <f t="shared" si="4"/>
        <v>-0.025266</v>
      </c>
      <c r="U42" s="2">
        <f t="shared" si="5"/>
        <v>97</v>
      </c>
      <c r="V42" s="2">
        <f t="shared" si="6"/>
        <v>96</v>
      </c>
      <c r="W42" s="2">
        <f t="shared" si="7"/>
        <v>99</v>
      </c>
      <c r="X42" s="2" t="str">
        <f t="shared" si="8"/>
        <v/>
      </c>
      <c r="Y42" s="2" t="str">
        <f t="shared" si="9"/>
        <v/>
      </c>
      <c r="Z42" s="2" t="str">
        <f t="shared" si="10"/>
        <v/>
      </c>
      <c r="AA42" s="2">
        <f t="shared" si="11"/>
        <v>0.493541104</v>
      </c>
      <c r="AB42" s="2">
        <f t="shared" si="12"/>
        <v>0.493541104</v>
      </c>
      <c r="AC42" s="2" t="str">
        <f>VLOOKUP(A42,Regions!$A$2:$B$233,2)</f>
        <v>Latin America &amp; Caribbean</v>
      </c>
    </row>
    <row r="43">
      <c r="A43" s="1" t="s">
        <v>50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 t="str">
        <f t="shared" si="1"/>
        <v/>
      </c>
      <c r="R43" s="2" t="str">
        <f t="shared" si="2"/>
        <v/>
      </c>
      <c r="S43" s="2" t="str">
        <f t="shared" si="3"/>
        <v/>
      </c>
      <c r="T43" s="2" t="str">
        <f t="shared" si="4"/>
        <v/>
      </c>
      <c r="U43" s="2">
        <f t="shared" si="5"/>
        <v>98</v>
      </c>
      <c r="V43" s="2">
        <f t="shared" si="6"/>
        <v>98</v>
      </c>
      <c r="W43" s="2">
        <f t="shared" si="7"/>
        <v>99</v>
      </c>
      <c r="X43" s="2" t="str">
        <f t="shared" si="8"/>
        <v/>
      </c>
      <c r="Y43" s="2" t="str">
        <f t="shared" si="9"/>
        <v/>
      </c>
      <c r="Z43" s="2" t="str">
        <f t="shared" si="10"/>
        <v/>
      </c>
      <c r="AA43" s="2">
        <f t="shared" si="11"/>
        <v>0</v>
      </c>
      <c r="AB43" s="2">
        <f t="shared" si="12"/>
        <v>0</v>
      </c>
      <c r="AC43" s="2" t="str">
        <f>VLOOKUP(A43,Regions!$A$2:$B$233,2)</f>
        <v>Latin America &amp; Caribbean</v>
      </c>
    </row>
    <row r="44">
      <c r="A44" s="1" t="s">
        <v>51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2">
        <f t="shared" si="1"/>
        <v>5</v>
      </c>
      <c r="R44" s="2">
        <f t="shared" si="2"/>
        <v>0.125460138</v>
      </c>
      <c r="S44" s="2">
        <f t="shared" si="3"/>
        <v>0.253583104</v>
      </c>
      <c r="T44" s="2">
        <f t="shared" si="4"/>
        <v>-0.207828504</v>
      </c>
      <c r="U44" s="2">
        <f t="shared" si="5"/>
        <v>65</v>
      </c>
      <c r="V44" s="2">
        <f t="shared" si="6"/>
        <v>57</v>
      </c>
      <c r="W44" s="2">
        <f t="shared" si="7"/>
        <v>74</v>
      </c>
      <c r="X44" s="2" t="str">
        <f t="shared" si="8"/>
        <v/>
      </c>
      <c r="Y44" s="2" t="str">
        <f t="shared" si="9"/>
        <v/>
      </c>
      <c r="Z44" s="2" t="str">
        <f t="shared" si="10"/>
        <v/>
      </c>
      <c r="AA44" s="2">
        <f t="shared" si="11"/>
        <v>0.461411608</v>
      </c>
      <c r="AB44" s="2">
        <f t="shared" si="12"/>
        <v>0.461411608</v>
      </c>
      <c r="AC44" s="2" t="str">
        <f>VLOOKUP(A44,Regions!$A$2:$B$233,2)</f>
        <v>Sub-Saharan Africa</v>
      </c>
    </row>
    <row r="45">
      <c r="A45" s="1" t="s">
        <v>51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Q45" s="2" t="str">
        <f t="shared" si="1"/>
        <v/>
      </c>
      <c r="R45" s="2" t="str">
        <f t="shared" si="2"/>
        <v/>
      </c>
      <c r="S45" s="2" t="str">
        <f t="shared" si="3"/>
        <v/>
      </c>
      <c r="T45" s="2" t="str">
        <f t="shared" si="4"/>
        <v/>
      </c>
      <c r="U45" s="2">
        <f t="shared" si="5"/>
        <v>65</v>
      </c>
      <c r="V45" s="2">
        <f t="shared" si="6"/>
        <v>58</v>
      </c>
      <c r="W45" s="2">
        <f t="shared" si="7"/>
        <v>73</v>
      </c>
      <c r="X45" s="2" t="str">
        <f t="shared" si="8"/>
        <v/>
      </c>
      <c r="Y45" s="2" t="str">
        <f t="shared" si="9"/>
        <v/>
      </c>
      <c r="Z45" s="2" t="str">
        <f t="shared" si="10"/>
        <v/>
      </c>
      <c r="AA45" s="2">
        <f t="shared" si="11"/>
        <v>0</v>
      </c>
      <c r="AB45" s="2">
        <f t="shared" si="12"/>
        <v>0</v>
      </c>
      <c r="AC45" s="2" t="str">
        <f>VLOOKUP(A45,Regions!$A$2:$B$233,2)</f>
        <v>Sub-Saharan Africa</v>
      </c>
    </row>
    <row r="46">
      <c r="A46" s="1" t="s">
        <v>52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33</v>
      </c>
      <c r="J46" s="1" t="s">
        <v>33</v>
      </c>
      <c r="K46" s="1" t="s">
        <v>33</v>
      </c>
      <c r="L46" s="1" t="s">
        <v>33</v>
      </c>
      <c r="M46" s="1">
        <v>99.90314002</v>
      </c>
      <c r="N46" s="1">
        <v>0.0</v>
      </c>
      <c r="O46" s="1">
        <v>0.09685998294</v>
      </c>
      <c r="P46" s="1">
        <v>0.0</v>
      </c>
      <c r="Q46" s="2">
        <f t="shared" si="1"/>
        <v>5</v>
      </c>
      <c r="R46" s="2">
        <f t="shared" si="2"/>
        <v>0</v>
      </c>
      <c r="S46" s="2" t="str">
        <f t="shared" si="3"/>
        <v>null</v>
      </c>
      <c r="T46" s="2">
        <f t="shared" si="4"/>
        <v>0</v>
      </c>
      <c r="U46" s="2">
        <f t="shared" si="5"/>
        <v>100</v>
      </c>
      <c r="V46" s="2" t="str">
        <f t="shared" si="6"/>
        <v>null</v>
      </c>
      <c r="W46" s="2">
        <f t="shared" si="7"/>
        <v>100</v>
      </c>
      <c r="X46" s="2" t="str">
        <f t="shared" si="8"/>
        <v>full access</v>
      </c>
      <c r="Y46" s="2" t="str">
        <f t="shared" si="9"/>
        <v/>
      </c>
      <c r="Z46" s="2" t="str">
        <f t="shared" si="10"/>
        <v>full access</v>
      </c>
      <c r="AA46" s="2" t="str">
        <f t="shared" si="11"/>
        <v>null</v>
      </c>
      <c r="AB46" s="2" t="str">
        <f t="shared" si="12"/>
        <v>null</v>
      </c>
      <c r="AC46" s="2" t="str">
        <f>VLOOKUP(A46,Regions!$A$2:$B$233,2)</f>
        <v>North America</v>
      </c>
    </row>
    <row r="47">
      <c r="A47" s="1" t="s">
        <v>52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33</v>
      </c>
      <c r="J47" s="1" t="s">
        <v>33</v>
      </c>
      <c r="K47" s="1" t="s">
        <v>33</v>
      </c>
      <c r="L47" s="1" t="s">
        <v>33</v>
      </c>
      <c r="M47" s="1">
        <v>99.90314002</v>
      </c>
      <c r="N47" s="1">
        <v>0.0</v>
      </c>
      <c r="O47" s="1">
        <v>0.09685998294</v>
      </c>
      <c r="P47" s="1">
        <v>0.0</v>
      </c>
      <c r="Q47" s="2" t="str">
        <f t="shared" si="1"/>
        <v/>
      </c>
      <c r="R47" s="2" t="str">
        <f t="shared" si="2"/>
        <v/>
      </c>
      <c r="S47" s="2" t="str">
        <f t="shared" si="3"/>
        <v/>
      </c>
      <c r="T47" s="2" t="str">
        <f t="shared" si="4"/>
        <v/>
      </c>
      <c r="U47" s="2">
        <f t="shared" si="5"/>
        <v>100</v>
      </c>
      <c r="V47" s="2" t="str">
        <f t="shared" si="6"/>
        <v>null</v>
      </c>
      <c r="W47" s="2">
        <f t="shared" si="7"/>
        <v>100</v>
      </c>
      <c r="X47" s="2" t="str">
        <f t="shared" si="8"/>
        <v/>
      </c>
      <c r="Y47" s="2" t="str">
        <f t="shared" si="9"/>
        <v/>
      </c>
      <c r="Z47" s="2" t="str">
        <f t="shared" si="10"/>
        <v/>
      </c>
      <c r="AA47" s="2">
        <f t="shared" si="11"/>
        <v>0</v>
      </c>
      <c r="AB47" s="2">
        <f t="shared" si="12"/>
        <v>0</v>
      </c>
      <c r="AC47" s="2" t="str">
        <f>VLOOKUP(A47,Regions!$A$2:$B$233,2)</f>
        <v>North America</v>
      </c>
    </row>
    <row r="48">
      <c r="A48" s="1" t="s">
        <v>53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2">
        <f t="shared" si="1"/>
        <v>5</v>
      </c>
      <c r="R48" s="2">
        <f t="shared" si="2"/>
        <v>0.218360008</v>
      </c>
      <c r="S48" s="2">
        <f t="shared" si="3"/>
        <v>0.31336614</v>
      </c>
      <c r="T48" s="2">
        <f t="shared" si="4"/>
        <v>0.041858342</v>
      </c>
      <c r="U48" s="2">
        <f t="shared" si="5"/>
        <v>96</v>
      </c>
      <c r="V48" s="2">
        <f t="shared" si="6"/>
        <v>95</v>
      </c>
      <c r="W48" s="2">
        <f t="shared" si="7"/>
        <v>98</v>
      </c>
      <c r="X48" s="2" t="str">
        <f t="shared" si="8"/>
        <v/>
      </c>
      <c r="Y48" s="2" t="str">
        <f t="shared" si="9"/>
        <v/>
      </c>
      <c r="Z48" s="2" t="str">
        <f t="shared" si="10"/>
        <v/>
      </c>
      <c r="AA48" s="2">
        <f t="shared" si="11"/>
        <v>0.271507798</v>
      </c>
      <c r="AB48" s="2">
        <f t="shared" si="12"/>
        <v>0.271507798</v>
      </c>
      <c r="AC48" s="2" t="str">
        <f>VLOOKUP(A48,Regions!$A$2:$B$233,2)</f>
        <v>South Asia</v>
      </c>
    </row>
    <row r="49">
      <c r="A49" s="1" t="s">
        <v>53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Q49" s="2" t="str">
        <f t="shared" si="1"/>
        <v/>
      </c>
      <c r="R49" s="2" t="str">
        <f t="shared" si="2"/>
        <v/>
      </c>
      <c r="S49" s="2" t="str">
        <f t="shared" si="3"/>
        <v/>
      </c>
      <c r="T49" s="2" t="str">
        <f t="shared" si="4"/>
        <v/>
      </c>
      <c r="U49" s="2">
        <f t="shared" si="5"/>
        <v>97</v>
      </c>
      <c r="V49" s="2">
        <f t="shared" si="6"/>
        <v>97</v>
      </c>
      <c r="W49" s="2">
        <f t="shared" si="7"/>
        <v>98</v>
      </c>
      <c r="X49" s="2" t="str">
        <f t="shared" si="8"/>
        <v/>
      </c>
      <c r="Y49" s="2" t="str">
        <f t="shared" si="9"/>
        <v/>
      </c>
      <c r="Z49" s="2" t="str">
        <f t="shared" si="10"/>
        <v/>
      </c>
      <c r="AA49" s="2">
        <f t="shared" si="11"/>
        <v>0</v>
      </c>
      <c r="AB49" s="2">
        <f t="shared" si="12"/>
        <v>0</v>
      </c>
      <c r="AC49" s="2" t="str">
        <f>VLOOKUP(A49,Regions!$A$2:$B$233,2)</f>
        <v>South Asia</v>
      </c>
    </row>
    <row r="50">
      <c r="A50" s="1" t="s">
        <v>54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2">
        <f t="shared" si="1"/>
        <v>5</v>
      </c>
      <c r="R50" s="2">
        <f t="shared" si="2"/>
        <v>0.585586124</v>
      </c>
      <c r="S50" s="2">
        <f t="shared" si="3"/>
        <v>1.239292526</v>
      </c>
      <c r="T50" s="2">
        <f t="shared" si="4"/>
        <v>0.186424248</v>
      </c>
      <c r="U50" s="2">
        <f t="shared" si="5"/>
        <v>90</v>
      </c>
      <c r="V50" s="2">
        <f t="shared" si="6"/>
        <v>74</v>
      </c>
      <c r="W50" s="2">
        <f t="shared" si="7"/>
        <v>98</v>
      </c>
      <c r="X50" s="2" t="str">
        <f t="shared" si="8"/>
        <v/>
      </c>
      <c r="Y50" s="2" t="str">
        <f t="shared" si="9"/>
        <v/>
      </c>
      <c r="Z50" s="2" t="str">
        <f t="shared" si="10"/>
        <v/>
      </c>
      <c r="AA50" s="2">
        <f t="shared" si="11"/>
        <v>1.052868278</v>
      </c>
      <c r="AB50" s="2">
        <f t="shared" si="12"/>
        <v>1.052868278</v>
      </c>
      <c r="AC50" s="2" t="str">
        <f>VLOOKUP(A50,Regions!$A$2:$B$233,2)</f>
        <v>Latin America &amp; Caribbean</v>
      </c>
    </row>
    <row r="51">
      <c r="A51" s="1" t="s">
        <v>54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Q51" s="2" t="str">
        <f t="shared" si="1"/>
        <v/>
      </c>
      <c r="R51" s="2" t="str">
        <f t="shared" si="2"/>
        <v/>
      </c>
      <c r="S51" s="2" t="str">
        <f t="shared" si="3"/>
        <v/>
      </c>
      <c r="T51" s="2" t="str">
        <f t="shared" si="4"/>
        <v/>
      </c>
      <c r="U51" s="2">
        <f t="shared" si="5"/>
        <v>93</v>
      </c>
      <c r="V51" s="2">
        <f t="shared" si="6"/>
        <v>80</v>
      </c>
      <c r="W51" s="2">
        <f t="shared" si="7"/>
        <v>99</v>
      </c>
      <c r="X51" s="2" t="str">
        <f t="shared" si="8"/>
        <v/>
      </c>
      <c r="Y51" s="2" t="str">
        <f t="shared" si="9"/>
        <v/>
      </c>
      <c r="Z51" s="2" t="str">
        <f t="shared" si="10"/>
        <v/>
      </c>
      <c r="AA51" s="2">
        <f t="shared" si="11"/>
        <v>0</v>
      </c>
      <c r="AB51" s="2">
        <f t="shared" si="12"/>
        <v>0</v>
      </c>
      <c r="AC51" s="2" t="str">
        <f>VLOOKUP(A51,Regions!$A$2:$B$233,2)</f>
        <v>Latin America &amp; Caribbean</v>
      </c>
    </row>
    <row r="52">
      <c r="A52" s="1" t="s">
        <v>55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2">
        <f t="shared" si="1"/>
        <v>5</v>
      </c>
      <c r="R52" s="2">
        <f t="shared" si="2"/>
        <v>-0.009189312</v>
      </c>
      <c r="S52" s="2">
        <f t="shared" si="3"/>
        <v>0</v>
      </c>
      <c r="T52" s="2">
        <f t="shared" si="4"/>
        <v>0</v>
      </c>
      <c r="U52" s="2">
        <f t="shared" si="5"/>
        <v>96</v>
      </c>
      <c r="V52" s="2">
        <f t="shared" si="6"/>
        <v>97</v>
      </c>
      <c r="W52" s="2">
        <f t="shared" si="7"/>
        <v>95</v>
      </c>
      <c r="X52" s="2" t="str">
        <f t="shared" si="8"/>
        <v/>
      </c>
      <c r="Y52" s="2" t="str">
        <f t="shared" si="9"/>
        <v/>
      </c>
      <c r="Z52" s="2" t="str">
        <f t="shared" si="10"/>
        <v/>
      </c>
      <c r="AA52" s="2">
        <f t="shared" si="11"/>
        <v>0</v>
      </c>
      <c r="AB52" s="2">
        <f t="shared" si="12"/>
        <v>0</v>
      </c>
      <c r="AC52" s="2" t="str">
        <f>VLOOKUP(A52,Regions!$A$2:$B$233,2)</f>
        <v>Europe &amp; Central Asia</v>
      </c>
    </row>
    <row r="53">
      <c r="A53" s="1" t="s">
        <v>55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Q53" s="2" t="str">
        <f t="shared" si="1"/>
        <v/>
      </c>
      <c r="R53" s="2" t="str">
        <f t="shared" si="2"/>
        <v/>
      </c>
      <c r="S53" s="2" t="str">
        <f t="shared" si="3"/>
        <v/>
      </c>
      <c r="T53" s="2" t="str">
        <f t="shared" si="4"/>
        <v/>
      </c>
      <c r="U53" s="2">
        <f t="shared" si="5"/>
        <v>96</v>
      </c>
      <c r="V53" s="2">
        <f t="shared" si="6"/>
        <v>97</v>
      </c>
      <c r="W53" s="2">
        <f t="shared" si="7"/>
        <v>95</v>
      </c>
      <c r="X53" s="2" t="str">
        <f t="shared" si="8"/>
        <v/>
      </c>
      <c r="Y53" s="2" t="str">
        <f t="shared" si="9"/>
        <v/>
      </c>
      <c r="Z53" s="2" t="str">
        <f t="shared" si="10"/>
        <v/>
      </c>
      <c r="AA53" s="2">
        <f t="shared" si="11"/>
        <v>0</v>
      </c>
      <c r="AB53" s="2">
        <f t="shared" si="12"/>
        <v>0</v>
      </c>
      <c r="AC53" s="2" t="str">
        <f>VLOOKUP(A53,Regions!$A$2:$B$233,2)</f>
        <v>Europe &amp; Central Asia</v>
      </c>
    </row>
    <row r="54">
      <c r="A54" s="1" t="s">
        <v>56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2">
        <f t="shared" si="1"/>
        <v>5</v>
      </c>
      <c r="R54" s="2">
        <f t="shared" si="2"/>
        <v>0.753454708</v>
      </c>
      <c r="S54" s="2">
        <f t="shared" si="3"/>
        <v>1.430238006</v>
      </c>
      <c r="T54" s="2">
        <f t="shared" si="4"/>
        <v>0.2164756</v>
      </c>
      <c r="U54" s="2">
        <f t="shared" si="5"/>
        <v>88</v>
      </c>
      <c r="V54" s="2">
        <f t="shared" si="6"/>
        <v>72</v>
      </c>
      <c r="W54" s="2">
        <f t="shared" si="7"/>
        <v>97</v>
      </c>
      <c r="X54" s="2" t="str">
        <f t="shared" si="8"/>
        <v/>
      </c>
      <c r="Y54" s="2" t="str">
        <f t="shared" si="9"/>
        <v/>
      </c>
      <c r="Z54" s="2" t="str">
        <f t="shared" si="10"/>
        <v/>
      </c>
      <c r="AA54" s="2">
        <f t="shared" si="11"/>
        <v>1.213762406</v>
      </c>
      <c r="AB54" s="2">
        <f t="shared" si="12"/>
        <v>1.213762406</v>
      </c>
      <c r="AC54" s="2" t="str">
        <f>VLOOKUP(A54,Regions!$A$2:$B$233,2)</f>
        <v>Sub-Saharan Africa</v>
      </c>
    </row>
    <row r="55">
      <c r="A55" s="1" t="s">
        <v>56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Q55" s="2" t="str">
        <f t="shared" si="1"/>
        <v/>
      </c>
      <c r="R55" s="2" t="str">
        <f t="shared" si="2"/>
        <v/>
      </c>
      <c r="S55" s="2" t="str">
        <f t="shared" si="3"/>
        <v/>
      </c>
      <c r="T55" s="2" t="str">
        <f t="shared" si="4"/>
        <v/>
      </c>
      <c r="U55" s="2">
        <f t="shared" si="5"/>
        <v>92</v>
      </c>
      <c r="V55" s="2">
        <f t="shared" si="6"/>
        <v>79</v>
      </c>
      <c r="W55" s="2">
        <f t="shared" si="7"/>
        <v>98</v>
      </c>
      <c r="X55" s="2" t="str">
        <f t="shared" si="8"/>
        <v/>
      </c>
      <c r="Y55" s="2" t="str">
        <f t="shared" si="9"/>
        <v/>
      </c>
      <c r="Z55" s="2" t="str">
        <f t="shared" si="10"/>
        <v/>
      </c>
      <c r="AA55" s="2">
        <f t="shared" si="11"/>
        <v>0</v>
      </c>
      <c r="AB55" s="2">
        <f t="shared" si="12"/>
        <v>0</v>
      </c>
      <c r="AC55" s="2" t="str">
        <f>VLOOKUP(A55,Regions!$A$2:$B$233,2)</f>
        <v>Sub-Saharan Africa</v>
      </c>
    </row>
    <row r="56">
      <c r="A56" s="1" t="s">
        <v>57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2">
        <f t="shared" si="1"/>
        <v>5</v>
      </c>
      <c r="R56" s="2">
        <f t="shared" si="2"/>
        <v>0.30345708</v>
      </c>
      <c r="S56" s="2">
        <f t="shared" si="3"/>
        <v>1.43784627</v>
      </c>
      <c r="T56" s="2">
        <f t="shared" si="4"/>
        <v>0.103474058</v>
      </c>
      <c r="U56" s="2">
        <f t="shared" si="5"/>
        <v>98</v>
      </c>
      <c r="V56" s="2">
        <f t="shared" si="6"/>
        <v>89</v>
      </c>
      <c r="W56" s="2">
        <f t="shared" si="7"/>
        <v>99</v>
      </c>
      <c r="X56" s="2" t="str">
        <f t="shared" si="8"/>
        <v/>
      </c>
      <c r="Y56" s="2" t="str">
        <f t="shared" si="9"/>
        <v/>
      </c>
      <c r="Z56" s="2" t="str">
        <f t="shared" si="10"/>
        <v/>
      </c>
      <c r="AA56" s="2">
        <f t="shared" si="11"/>
        <v>1.334372212</v>
      </c>
      <c r="AB56" s="2">
        <f t="shared" si="12"/>
        <v>1.334372212</v>
      </c>
      <c r="AC56" s="2" t="str">
        <f>VLOOKUP(A56,Regions!$A$2:$B$233,2)</f>
        <v>Latin America &amp; Caribbean</v>
      </c>
    </row>
    <row r="57">
      <c r="A57" s="1" t="s">
        <v>57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33</v>
      </c>
      <c r="I57" s="1">
        <v>95.94525953</v>
      </c>
      <c r="J57" s="1">
        <v>0.9789509154</v>
      </c>
      <c r="K57" s="1">
        <v>3.075789551</v>
      </c>
      <c r="L57" s="1" t="s">
        <v>33</v>
      </c>
      <c r="M57" s="1">
        <v>99.82200131</v>
      </c>
      <c r="N57" s="1">
        <v>0.0</v>
      </c>
      <c r="O57" s="1">
        <v>0.1779986949</v>
      </c>
      <c r="P57" s="1">
        <v>0.0</v>
      </c>
      <c r="Q57" s="2" t="str">
        <f t="shared" si="1"/>
        <v/>
      </c>
      <c r="R57" s="2" t="str">
        <f t="shared" si="2"/>
        <v/>
      </c>
      <c r="S57" s="2" t="str">
        <f t="shared" si="3"/>
        <v/>
      </c>
      <c r="T57" s="2" t="str">
        <f t="shared" si="4"/>
        <v/>
      </c>
      <c r="U57" s="2">
        <f t="shared" si="5"/>
        <v>99</v>
      </c>
      <c r="V57" s="2">
        <f t="shared" si="6"/>
        <v>96</v>
      </c>
      <c r="W57" s="2">
        <f t="shared" si="7"/>
        <v>100</v>
      </c>
      <c r="X57" s="2" t="str">
        <f t="shared" si="8"/>
        <v/>
      </c>
      <c r="Y57" s="2" t="str">
        <f t="shared" si="9"/>
        <v/>
      </c>
      <c r="Z57" s="2" t="str">
        <f t="shared" si="10"/>
        <v/>
      </c>
      <c r="AA57" s="2">
        <f t="shared" si="11"/>
        <v>0</v>
      </c>
      <c r="AB57" s="2">
        <f t="shared" si="12"/>
        <v>0</v>
      </c>
      <c r="AC57" s="2" t="str">
        <f>VLOOKUP(A57,Regions!$A$2:$B$233,2)</f>
        <v>Latin America &amp; Caribbean</v>
      </c>
    </row>
    <row r="58">
      <c r="A58" s="1" t="s">
        <v>58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33</v>
      </c>
      <c r="J58" s="1" t="s">
        <v>33</v>
      </c>
      <c r="K58" s="1" t="s">
        <v>33</v>
      </c>
      <c r="L58" s="1" t="s">
        <v>33</v>
      </c>
      <c r="M58" s="1" t="s">
        <v>33</v>
      </c>
      <c r="N58" s="1" t="s">
        <v>33</v>
      </c>
      <c r="O58" s="1" t="s">
        <v>33</v>
      </c>
      <c r="P58" s="1" t="s">
        <v>33</v>
      </c>
      <c r="Q58" s="2">
        <f t="shared" si="1"/>
        <v>5</v>
      </c>
      <c r="R58" s="2">
        <f t="shared" si="2"/>
        <v>0</v>
      </c>
      <c r="S58" s="2" t="str">
        <f t="shared" si="3"/>
        <v>null</v>
      </c>
      <c r="T58" s="2" t="str">
        <f t="shared" si="4"/>
        <v>null</v>
      </c>
      <c r="U58" s="2">
        <f t="shared" si="5"/>
        <v>100</v>
      </c>
      <c r="V58" s="2" t="str">
        <f t="shared" si="6"/>
        <v>null</v>
      </c>
      <c r="W58" s="2" t="str">
        <f t="shared" si="7"/>
        <v>null</v>
      </c>
      <c r="X58" s="2" t="str">
        <f t="shared" si="8"/>
        <v>full access</v>
      </c>
      <c r="Y58" s="2" t="str">
        <f t="shared" si="9"/>
        <v/>
      </c>
      <c r="Z58" s="2" t="str">
        <f t="shared" si="10"/>
        <v/>
      </c>
      <c r="AA58" s="2" t="str">
        <f t="shared" si="11"/>
        <v>null</v>
      </c>
      <c r="AB58" s="2" t="str">
        <f t="shared" si="12"/>
        <v>null</v>
      </c>
      <c r="AC58" s="2" t="str">
        <f>VLOOKUP(A58,Regions!$A$2:$B$233,2)</f>
        <v>Latin America &amp; Caribbean</v>
      </c>
    </row>
    <row r="59">
      <c r="A59" s="1" t="s">
        <v>58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33</v>
      </c>
      <c r="J59" s="1" t="s">
        <v>33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  <c r="Q59" s="2" t="str">
        <f t="shared" si="1"/>
        <v/>
      </c>
      <c r="R59" s="2" t="str">
        <f t="shared" si="2"/>
        <v/>
      </c>
      <c r="S59" s="2" t="str">
        <f t="shared" si="3"/>
        <v/>
      </c>
      <c r="T59" s="2" t="str">
        <f t="shared" si="4"/>
        <v/>
      </c>
      <c r="U59" s="2">
        <f t="shared" si="5"/>
        <v>100</v>
      </c>
      <c r="V59" s="2" t="str">
        <f t="shared" si="6"/>
        <v>null</v>
      </c>
      <c r="W59" s="2" t="str">
        <f t="shared" si="7"/>
        <v>null</v>
      </c>
      <c r="X59" s="2" t="str">
        <f t="shared" si="8"/>
        <v/>
      </c>
      <c r="Y59" s="2" t="str">
        <f t="shared" si="9"/>
        <v/>
      </c>
      <c r="Z59" s="2" t="str">
        <f t="shared" si="10"/>
        <v/>
      </c>
      <c r="AA59" s="2">
        <f t="shared" si="11"/>
        <v>0</v>
      </c>
      <c r="AB59" s="2">
        <f t="shared" si="12"/>
        <v>0</v>
      </c>
      <c r="AC59" s="2" t="str">
        <f>VLOOKUP(A59,Regions!$A$2:$B$233,2)</f>
        <v>Latin America &amp; Caribbean</v>
      </c>
    </row>
    <row r="60">
      <c r="A60" s="1" t="s">
        <v>59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2">
        <f t="shared" si="1"/>
        <v>5</v>
      </c>
      <c r="R60" s="2">
        <f t="shared" si="2"/>
        <v>0.078012128</v>
      </c>
      <c r="S60" s="2" t="str">
        <f t="shared" si="3"/>
        <v>null</v>
      </c>
      <c r="T60" s="2">
        <f t="shared" si="4"/>
        <v>0</v>
      </c>
      <c r="U60" s="2">
        <f t="shared" si="5"/>
        <v>100</v>
      </c>
      <c r="V60" s="2">
        <f t="shared" si="6"/>
        <v>99</v>
      </c>
      <c r="W60" s="2">
        <f t="shared" si="7"/>
        <v>100</v>
      </c>
      <c r="X60" s="2" t="str">
        <f t="shared" si="8"/>
        <v>full access</v>
      </c>
      <c r="Y60" s="2" t="str">
        <f t="shared" si="9"/>
        <v/>
      </c>
      <c r="Z60" s="2" t="str">
        <f t="shared" si="10"/>
        <v>full access</v>
      </c>
      <c r="AA60" s="2" t="str">
        <f t="shared" si="11"/>
        <v>null</v>
      </c>
      <c r="AB60" s="2" t="str">
        <f t="shared" si="12"/>
        <v>null</v>
      </c>
      <c r="AC60" s="2" t="str">
        <f>VLOOKUP(A60,Regions!$A$2:$B$233,2)</f>
        <v>East Asia &amp; Pacific</v>
      </c>
    </row>
    <row r="61">
      <c r="A61" s="1" t="s">
        <v>59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33</v>
      </c>
      <c r="J61" s="1" t="s">
        <v>33</v>
      </c>
      <c r="K61" s="1" t="s">
        <v>33</v>
      </c>
      <c r="L61" s="1" t="s">
        <v>33</v>
      </c>
      <c r="M61" s="1">
        <v>99.65</v>
      </c>
      <c r="N61" s="1">
        <v>0.0</v>
      </c>
      <c r="O61" s="1">
        <v>0.35</v>
      </c>
      <c r="P61" s="1">
        <v>0.0</v>
      </c>
      <c r="Q61" s="2" t="str">
        <f t="shared" si="1"/>
        <v/>
      </c>
      <c r="R61" s="2" t="str">
        <f t="shared" si="2"/>
        <v/>
      </c>
      <c r="S61" s="2" t="str">
        <f t="shared" si="3"/>
        <v/>
      </c>
      <c r="T61" s="2" t="str">
        <f t="shared" si="4"/>
        <v/>
      </c>
      <c r="U61" s="2">
        <f t="shared" si="5"/>
        <v>100</v>
      </c>
      <c r="V61" s="2" t="str">
        <f t="shared" si="6"/>
        <v>null</v>
      </c>
      <c r="W61" s="2">
        <f t="shared" si="7"/>
        <v>100</v>
      </c>
      <c r="X61" s="2" t="str">
        <f t="shared" si="8"/>
        <v/>
      </c>
      <c r="Y61" s="2" t="str">
        <f t="shared" si="9"/>
        <v/>
      </c>
      <c r="Z61" s="2" t="str">
        <f t="shared" si="10"/>
        <v/>
      </c>
      <c r="AA61" s="2">
        <f t="shared" si="11"/>
        <v>0</v>
      </c>
      <c r="AB61" s="2">
        <f t="shared" si="12"/>
        <v>0</v>
      </c>
      <c r="AC61" s="2" t="str">
        <f>VLOOKUP(A61,Regions!$A$2:$B$233,2)</f>
        <v>East Asia &amp; Pacific</v>
      </c>
    </row>
    <row r="62">
      <c r="A62" s="1" t="s">
        <v>60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2">
        <f t="shared" si="1"/>
        <v>5</v>
      </c>
      <c r="R62" s="2">
        <f t="shared" si="2"/>
        <v>-0.036982074</v>
      </c>
      <c r="S62" s="2">
        <f t="shared" si="3"/>
        <v>-0.122970474</v>
      </c>
      <c r="T62" s="2">
        <f t="shared" si="4"/>
        <v>-0.016507464</v>
      </c>
      <c r="U62" s="2">
        <f t="shared" si="5"/>
        <v>99</v>
      </c>
      <c r="V62" s="2">
        <f t="shared" si="6"/>
        <v>98</v>
      </c>
      <c r="W62" s="2">
        <f t="shared" si="7"/>
        <v>100</v>
      </c>
      <c r="X62" s="2" t="str">
        <f t="shared" si="8"/>
        <v/>
      </c>
      <c r="Y62" s="2" t="str">
        <f t="shared" si="9"/>
        <v/>
      </c>
      <c r="Z62" s="2" t="str">
        <f t="shared" si="10"/>
        <v>full access</v>
      </c>
      <c r="AA62" s="2">
        <f t="shared" si="11"/>
        <v>-0.10646301</v>
      </c>
      <c r="AB62" s="2">
        <f t="shared" si="12"/>
        <v>0.10646301</v>
      </c>
      <c r="AC62" s="2" t="str">
        <f>VLOOKUP(A62,Regions!$A$2:$B$233,2)</f>
        <v>Europe &amp; Central Asia</v>
      </c>
    </row>
    <row r="63">
      <c r="A63" s="1" t="s">
        <v>60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Q63" s="2" t="str">
        <f t="shared" si="1"/>
        <v/>
      </c>
      <c r="R63" s="2" t="str">
        <f t="shared" si="2"/>
        <v/>
      </c>
      <c r="S63" s="2" t="str">
        <f t="shared" si="3"/>
        <v/>
      </c>
      <c r="T63" s="2" t="str">
        <f t="shared" si="4"/>
        <v/>
      </c>
      <c r="U63" s="2">
        <f t="shared" si="5"/>
        <v>99</v>
      </c>
      <c r="V63" s="2">
        <f t="shared" si="6"/>
        <v>97</v>
      </c>
      <c r="W63" s="2">
        <f t="shared" si="7"/>
        <v>100</v>
      </c>
      <c r="X63" s="2" t="str">
        <f t="shared" si="8"/>
        <v/>
      </c>
      <c r="Y63" s="2" t="str">
        <f t="shared" si="9"/>
        <v/>
      </c>
      <c r="Z63" s="2" t="str">
        <f t="shared" si="10"/>
        <v/>
      </c>
      <c r="AA63" s="2">
        <f t="shared" si="11"/>
        <v>0</v>
      </c>
      <c r="AB63" s="2">
        <f t="shared" si="12"/>
        <v>0</v>
      </c>
      <c r="AC63" s="2" t="str">
        <f>VLOOKUP(A63,Regions!$A$2:$B$233,2)</f>
        <v>Europe &amp; Central Asia</v>
      </c>
    </row>
    <row r="64">
      <c r="A64" s="1" t="s">
        <v>61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2">
        <f t="shared" si="1"/>
        <v>5</v>
      </c>
      <c r="R64" s="2">
        <f t="shared" si="2"/>
        <v>-0.584455326</v>
      </c>
      <c r="S64" s="2">
        <f t="shared" si="3"/>
        <v>-1.22738096</v>
      </c>
      <c r="T64" s="2">
        <f t="shared" si="4"/>
        <v>0.049225276</v>
      </c>
      <c r="U64" s="2">
        <f t="shared" si="5"/>
        <v>50</v>
      </c>
      <c r="V64" s="2">
        <f t="shared" si="6"/>
        <v>39</v>
      </c>
      <c r="W64" s="2">
        <f t="shared" si="7"/>
        <v>80</v>
      </c>
      <c r="X64" s="2" t="str">
        <f t="shared" si="8"/>
        <v/>
      </c>
      <c r="Y64" s="2" t="str">
        <f t="shared" si="9"/>
        <v/>
      </c>
      <c r="Z64" s="2" t="str">
        <f t="shared" si="10"/>
        <v/>
      </c>
      <c r="AA64" s="2">
        <f t="shared" si="11"/>
        <v>-1.276606236</v>
      </c>
      <c r="AB64" s="2">
        <f t="shared" si="12"/>
        <v>1.276606236</v>
      </c>
      <c r="AC64" s="2" t="str">
        <f>VLOOKUP(A64,Regions!$A$2:$B$233,2)</f>
        <v>Sub-Saharan Africa</v>
      </c>
    </row>
    <row r="65">
      <c r="A65" s="1" t="s">
        <v>61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Q65" s="2" t="str">
        <f t="shared" si="1"/>
        <v/>
      </c>
      <c r="R65" s="2" t="str">
        <f t="shared" si="2"/>
        <v/>
      </c>
      <c r="S65" s="2" t="str">
        <f t="shared" si="3"/>
        <v/>
      </c>
      <c r="T65" s="2" t="str">
        <f t="shared" si="4"/>
        <v/>
      </c>
      <c r="U65" s="2">
        <f t="shared" si="5"/>
        <v>47</v>
      </c>
      <c r="V65" s="2">
        <f t="shared" si="6"/>
        <v>33</v>
      </c>
      <c r="W65" s="2">
        <f t="shared" si="7"/>
        <v>80</v>
      </c>
      <c r="X65" s="2" t="str">
        <f t="shared" si="8"/>
        <v/>
      </c>
      <c r="Y65" s="2" t="str">
        <f t="shared" si="9"/>
        <v/>
      </c>
      <c r="Z65" s="2" t="str">
        <f t="shared" si="10"/>
        <v/>
      </c>
      <c r="AA65" s="2">
        <f t="shared" si="11"/>
        <v>0</v>
      </c>
      <c r="AB65" s="2">
        <f t="shared" si="12"/>
        <v>0</v>
      </c>
      <c r="AC65" s="2" t="str">
        <f>VLOOKUP(A65,Regions!$A$2:$B$233,2)</f>
        <v>Sub-Saharan Africa</v>
      </c>
    </row>
    <row r="66">
      <c r="A66" s="1" t="s">
        <v>62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2">
        <f t="shared" si="1"/>
        <v>5</v>
      </c>
      <c r="R66" s="2">
        <f t="shared" si="2"/>
        <v>0.5251306</v>
      </c>
      <c r="S66" s="2">
        <f t="shared" si="3"/>
        <v>0.425499672</v>
      </c>
      <c r="T66" s="2">
        <f t="shared" si="4"/>
        <v>0.360134654</v>
      </c>
      <c r="U66" s="2">
        <f t="shared" si="5"/>
        <v>60</v>
      </c>
      <c r="V66" s="2">
        <f t="shared" si="6"/>
        <v>56</v>
      </c>
      <c r="W66" s="2">
        <f t="shared" si="7"/>
        <v>89</v>
      </c>
      <c r="X66" s="2" t="str">
        <f t="shared" si="8"/>
        <v/>
      </c>
      <c r="Y66" s="2" t="str">
        <f t="shared" si="9"/>
        <v/>
      </c>
      <c r="Z66" s="2" t="str">
        <f t="shared" si="10"/>
        <v/>
      </c>
      <c r="AA66" s="2">
        <f t="shared" si="11"/>
        <v>0.065365018</v>
      </c>
      <c r="AB66" s="2">
        <f t="shared" si="12"/>
        <v>0.065365018</v>
      </c>
      <c r="AC66" s="2" t="str">
        <f>VLOOKUP(A66,Regions!$A$2:$B$233,2)</f>
        <v>Sub-Saharan Africa</v>
      </c>
    </row>
    <row r="67">
      <c r="A67" s="1" t="s">
        <v>62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Q67" s="2" t="str">
        <f t="shared" si="1"/>
        <v/>
      </c>
      <c r="R67" s="2" t="str">
        <f t="shared" si="2"/>
        <v/>
      </c>
      <c r="S67" s="2" t="str">
        <f t="shared" si="3"/>
        <v/>
      </c>
      <c r="T67" s="2" t="str">
        <f t="shared" si="4"/>
        <v/>
      </c>
      <c r="U67" s="2">
        <f t="shared" si="5"/>
        <v>62</v>
      </c>
      <c r="V67" s="2">
        <f t="shared" si="6"/>
        <v>58</v>
      </c>
      <c r="W67" s="2">
        <f t="shared" si="7"/>
        <v>91</v>
      </c>
      <c r="X67" s="2" t="str">
        <f t="shared" si="8"/>
        <v/>
      </c>
      <c r="Y67" s="2" t="str">
        <f t="shared" si="9"/>
        <v/>
      </c>
      <c r="Z67" s="2" t="str">
        <f t="shared" si="10"/>
        <v/>
      </c>
      <c r="AA67" s="2">
        <f t="shared" si="11"/>
        <v>0</v>
      </c>
      <c r="AB67" s="2">
        <f t="shared" si="12"/>
        <v>0</v>
      </c>
      <c r="AC67" s="2" t="str">
        <f>VLOOKUP(A67,Regions!$A$2:$B$233,2)</f>
        <v>Sub-Saharan Africa</v>
      </c>
    </row>
    <row r="68">
      <c r="A68" s="1" t="s">
        <v>63</v>
      </c>
      <c r="B68" s="1">
        <v>2015.0</v>
      </c>
      <c r="C68" s="1">
        <v>524.7399902</v>
      </c>
      <c r="D68" s="1">
        <v>64.29999542</v>
      </c>
      <c r="E68" s="1">
        <v>85.44334237</v>
      </c>
      <c r="F68" s="1">
        <v>10.25307762</v>
      </c>
      <c r="G68" s="1">
        <v>4.151948319</v>
      </c>
      <c r="H68" s="1">
        <v>0.1516316911</v>
      </c>
      <c r="I68" s="1">
        <v>72.83231411</v>
      </c>
      <c r="J68" s="1">
        <v>16.37979458</v>
      </c>
      <c r="K68" s="1">
        <v>10.43676077</v>
      </c>
      <c r="L68" s="1">
        <v>0.3511305397</v>
      </c>
      <c r="M68" s="1">
        <v>92.44511451</v>
      </c>
      <c r="N68" s="1">
        <v>6.851463911</v>
      </c>
      <c r="O68" s="1">
        <v>0.6625536281</v>
      </c>
      <c r="P68" s="1">
        <v>0.0408679538</v>
      </c>
      <c r="Q68" s="2">
        <f t="shared" si="1"/>
        <v>5</v>
      </c>
      <c r="R68" s="2">
        <f t="shared" si="2"/>
        <v>0.66525281</v>
      </c>
      <c r="S68" s="2">
        <f t="shared" si="3"/>
        <v>1.456442266</v>
      </c>
      <c r="T68" s="2">
        <f t="shared" si="4"/>
        <v>0.130977098</v>
      </c>
      <c r="U68" s="2">
        <f t="shared" si="5"/>
        <v>85</v>
      </c>
      <c r="V68" s="2">
        <f t="shared" si="6"/>
        <v>73</v>
      </c>
      <c r="W68" s="2">
        <f t="shared" si="7"/>
        <v>92</v>
      </c>
      <c r="X68" s="2" t="str">
        <f t="shared" si="8"/>
        <v/>
      </c>
      <c r="Y68" s="2" t="str">
        <f t="shared" si="9"/>
        <v/>
      </c>
      <c r="Z68" s="2" t="str">
        <f t="shared" si="10"/>
        <v/>
      </c>
      <c r="AA68" s="2">
        <f t="shared" si="11"/>
        <v>1.325465168</v>
      </c>
      <c r="AB68" s="2">
        <f t="shared" si="12"/>
        <v>1.325465168</v>
      </c>
      <c r="AC68" s="2" t="str">
        <f>VLOOKUP(A68,Regions!$A$2:$B$233,2)</f>
        <v>Sub-Saharan Africa</v>
      </c>
    </row>
    <row r="69">
      <c r="A69" s="1" t="s">
        <v>63</v>
      </c>
      <c r="B69" s="1">
        <v>2020.0</v>
      </c>
      <c r="C69" s="1">
        <v>555.9879761</v>
      </c>
      <c r="D69" s="1">
        <v>66.65200043</v>
      </c>
      <c r="E69" s="1">
        <v>88.76960642</v>
      </c>
      <c r="F69" s="1">
        <v>7.904150846</v>
      </c>
      <c r="G69" s="1">
        <v>3.209147716</v>
      </c>
      <c r="H69" s="1">
        <v>0.1170950144</v>
      </c>
      <c r="I69" s="1">
        <v>80.11452544</v>
      </c>
      <c r="J69" s="1">
        <v>9.911127022</v>
      </c>
      <c r="K69" s="1">
        <v>9.623217003</v>
      </c>
      <c r="L69" s="1">
        <v>0.3511305397</v>
      </c>
      <c r="M69" s="1">
        <v>93.1</v>
      </c>
      <c r="N69" s="1">
        <v>6.9</v>
      </c>
      <c r="O69" s="1">
        <v>0.0</v>
      </c>
      <c r="P69" s="1">
        <v>0.0</v>
      </c>
      <c r="Q69" s="2" t="str">
        <f t="shared" si="1"/>
        <v/>
      </c>
      <c r="R69" s="2" t="str">
        <f t="shared" si="2"/>
        <v/>
      </c>
      <c r="S69" s="2" t="str">
        <f t="shared" si="3"/>
        <v/>
      </c>
      <c r="T69" s="2" t="str">
        <f t="shared" si="4"/>
        <v/>
      </c>
      <c r="U69" s="2">
        <f t="shared" si="5"/>
        <v>89</v>
      </c>
      <c r="V69" s="2">
        <f t="shared" si="6"/>
        <v>80</v>
      </c>
      <c r="W69" s="2">
        <f t="shared" si="7"/>
        <v>93</v>
      </c>
      <c r="X69" s="2" t="str">
        <f t="shared" si="8"/>
        <v/>
      </c>
      <c r="Y69" s="2" t="str">
        <f t="shared" si="9"/>
        <v/>
      </c>
      <c r="Z69" s="2" t="str">
        <f t="shared" si="10"/>
        <v/>
      </c>
      <c r="AA69" s="2">
        <f t="shared" si="11"/>
        <v>0</v>
      </c>
      <c r="AB69" s="2">
        <f t="shared" si="12"/>
        <v>0</v>
      </c>
      <c r="AC69" s="2" t="str">
        <f>VLOOKUP(A69,Regions!$A$2:$B$233,2)</f>
        <v>Sub-Saharan Africa</v>
      </c>
    </row>
    <row r="70">
      <c r="A70" s="1" t="s">
        <v>64</v>
      </c>
      <c r="B70" s="1">
        <v>2015.0</v>
      </c>
      <c r="C70" s="1">
        <v>15521.43457</v>
      </c>
      <c r="D70" s="1">
        <v>22.18799973</v>
      </c>
      <c r="E70" s="1">
        <v>68.44384896</v>
      </c>
      <c r="F70" s="1">
        <v>8.603248193</v>
      </c>
      <c r="G70" s="1">
        <v>9.602994817</v>
      </c>
      <c r="H70" s="1">
        <v>13.34990803</v>
      </c>
      <c r="I70" s="1">
        <v>62.71111668</v>
      </c>
      <c r="J70" s="1">
        <v>9.432045638</v>
      </c>
      <c r="K70" s="1">
        <v>11.75089596</v>
      </c>
      <c r="L70" s="1">
        <v>16.10594172</v>
      </c>
      <c r="M70" s="1">
        <v>88.54819144</v>
      </c>
      <c r="N70" s="1">
        <v>5.696703472</v>
      </c>
      <c r="O70" s="1">
        <v>2.070445687</v>
      </c>
      <c r="P70" s="1">
        <v>3.6846594</v>
      </c>
      <c r="Q70" s="2">
        <f t="shared" si="1"/>
        <v>5</v>
      </c>
      <c r="R70" s="2">
        <f t="shared" si="2"/>
        <v>0.555207202</v>
      </c>
      <c r="S70" s="2">
        <f t="shared" si="3"/>
        <v>0.47120783</v>
      </c>
      <c r="T70" s="2">
        <f t="shared" si="4"/>
        <v>0.381977146</v>
      </c>
      <c r="U70" s="2">
        <f t="shared" si="5"/>
        <v>68</v>
      </c>
      <c r="V70" s="2">
        <f t="shared" si="6"/>
        <v>63</v>
      </c>
      <c r="W70" s="2">
        <f t="shared" si="7"/>
        <v>89</v>
      </c>
      <c r="X70" s="2" t="str">
        <f t="shared" si="8"/>
        <v/>
      </c>
      <c r="Y70" s="2" t="str">
        <f t="shared" si="9"/>
        <v/>
      </c>
      <c r="Z70" s="2" t="str">
        <f t="shared" si="10"/>
        <v/>
      </c>
      <c r="AA70" s="2">
        <f t="shared" si="11"/>
        <v>0.089230684</v>
      </c>
      <c r="AB70" s="2">
        <f t="shared" si="12"/>
        <v>0.089230684</v>
      </c>
      <c r="AC70" s="2" t="str">
        <f>VLOOKUP(A70,Regions!$A$2:$B$233,2)</f>
        <v>East Asia &amp; Pacific</v>
      </c>
    </row>
    <row r="71">
      <c r="A71" s="1" t="s">
        <v>64</v>
      </c>
      <c r="B71" s="1">
        <v>2020.0</v>
      </c>
      <c r="C71" s="1">
        <v>16718.9707</v>
      </c>
      <c r="D71" s="1">
        <v>24.23200035</v>
      </c>
      <c r="E71" s="1">
        <v>71.21988497</v>
      </c>
      <c r="F71" s="1">
        <v>13.90222204</v>
      </c>
      <c r="G71" s="1">
        <v>5.677218558</v>
      </c>
      <c r="H71" s="1">
        <v>9.200674434</v>
      </c>
      <c r="I71" s="1">
        <v>65.06715583</v>
      </c>
      <c r="J71" s="1">
        <v>15.51772278</v>
      </c>
      <c r="K71" s="1">
        <v>7.492899307</v>
      </c>
      <c r="L71" s="1">
        <v>11.92222209</v>
      </c>
      <c r="M71" s="1">
        <v>90.45807717</v>
      </c>
      <c r="N71" s="1">
        <v>8.85091472</v>
      </c>
      <c r="O71" s="1">
        <v>0.0</v>
      </c>
      <c r="P71" s="1">
        <v>0.6910081144</v>
      </c>
      <c r="Q71" s="2" t="str">
        <f t="shared" si="1"/>
        <v/>
      </c>
      <c r="R71" s="2" t="str">
        <f t="shared" si="2"/>
        <v/>
      </c>
      <c r="S71" s="2" t="str">
        <f t="shared" si="3"/>
        <v/>
      </c>
      <c r="T71" s="2" t="str">
        <f t="shared" si="4"/>
        <v/>
      </c>
      <c r="U71" s="2">
        <f t="shared" si="5"/>
        <v>71</v>
      </c>
      <c r="V71" s="2">
        <f t="shared" si="6"/>
        <v>65</v>
      </c>
      <c r="W71" s="2">
        <f t="shared" si="7"/>
        <v>90</v>
      </c>
      <c r="X71" s="2" t="str">
        <f t="shared" si="8"/>
        <v/>
      </c>
      <c r="Y71" s="2" t="str">
        <f t="shared" si="9"/>
        <v/>
      </c>
      <c r="Z71" s="2" t="str">
        <f t="shared" si="10"/>
        <v/>
      </c>
      <c r="AA71" s="2">
        <f t="shared" si="11"/>
        <v>0</v>
      </c>
      <c r="AB71" s="2">
        <f t="shared" si="12"/>
        <v>0</v>
      </c>
      <c r="AC71" s="2" t="str">
        <f>VLOOKUP(A71,Regions!$A$2:$B$233,2)</f>
        <v>East Asia &amp; Pacific</v>
      </c>
    </row>
    <row r="72">
      <c r="A72" s="1" t="s">
        <v>65</v>
      </c>
      <c r="B72" s="1">
        <v>2015.0</v>
      </c>
      <c r="C72" s="1">
        <v>23298.37695</v>
      </c>
      <c r="D72" s="1">
        <v>54.57799911</v>
      </c>
      <c r="E72" s="1">
        <v>63.97399012</v>
      </c>
      <c r="F72" s="1">
        <v>11.23827056</v>
      </c>
      <c r="G72" s="1">
        <v>17.65135833</v>
      </c>
      <c r="H72" s="1">
        <v>7.136380984</v>
      </c>
      <c r="I72" s="1">
        <v>42.00566921</v>
      </c>
      <c r="J72" s="1">
        <v>11.07338641</v>
      </c>
      <c r="K72" s="1">
        <v>32.39404459</v>
      </c>
      <c r="L72" s="1">
        <v>14.52689979</v>
      </c>
      <c r="M72" s="1">
        <v>82.25690791</v>
      </c>
      <c r="N72" s="1">
        <v>11.37549377</v>
      </c>
      <c r="O72" s="1">
        <v>5.381903513</v>
      </c>
      <c r="P72" s="1">
        <v>0.9856948028</v>
      </c>
      <c r="Q72" s="2">
        <f t="shared" si="1"/>
        <v>5</v>
      </c>
      <c r="R72" s="2">
        <f t="shared" si="2"/>
        <v>0.349285612</v>
      </c>
      <c r="S72" s="2">
        <f t="shared" si="3"/>
        <v>0.304382382</v>
      </c>
      <c r="T72" s="2">
        <f t="shared" si="4"/>
        <v>-0.03466461</v>
      </c>
      <c r="U72" s="2">
        <f t="shared" si="5"/>
        <v>64</v>
      </c>
      <c r="V72" s="2">
        <f t="shared" si="6"/>
        <v>42</v>
      </c>
      <c r="W72" s="2">
        <f t="shared" si="7"/>
        <v>82</v>
      </c>
      <c r="X72" s="2" t="str">
        <f t="shared" si="8"/>
        <v/>
      </c>
      <c r="Y72" s="2" t="str">
        <f t="shared" si="9"/>
        <v/>
      </c>
      <c r="Z72" s="2" t="str">
        <f t="shared" si="10"/>
        <v/>
      </c>
      <c r="AA72" s="2">
        <f t="shared" si="11"/>
        <v>0.339046992</v>
      </c>
      <c r="AB72" s="2">
        <f t="shared" si="12"/>
        <v>0.339046992</v>
      </c>
      <c r="AC72" s="2" t="str">
        <f>VLOOKUP(A72,Regions!$A$2:$B$233,2)</f>
        <v>Sub-Saharan Africa</v>
      </c>
    </row>
    <row r="73">
      <c r="A73" s="1" t="s">
        <v>65</v>
      </c>
      <c r="B73" s="1">
        <v>2020.0</v>
      </c>
      <c r="C73" s="1">
        <v>26545.86328</v>
      </c>
      <c r="D73" s="1">
        <v>57.56000519</v>
      </c>
      <c r="E73" s="1">
        <v>65.72041818</v>
      </c>
      <c r="F73" s="1">
        <v>12.87474863</v>
      </c>
      <c r="G73" s="1">
        <v>15.00100626</v>
      </c>
      <c r="H73" s="1">
        <v>6.403826927</v>
      </c>
      <c r="I73" s="1">
        <v>43.52758112</v>
      </c>
      <c r="J73" s="1">
        <v>12.67259943</v>
      </c>
      <c r="K73" s="1">
        <v>30.12380645</v>
      </c>
      <c r="L73" s="1">
        <v>13.676013</v>
      </c>
      <c r="M73" s="1">
        <v>82.08358486</v>
      </c>
      <c r="N73" s="1">
        <v>13.02379677</v>
      </c>
      <c r="O73" s="1">
        <v>3.850701351</v>
      </c>
      <c r="P73" s="1">
        <v>1.041917019</v>
      </c>
      <c r="Q73" s="2" t="str">
        <f t="shared" si="1"/>
        <v/>
      </c>
      <c r="R73" s="2" t="str">
        <f t="shared" si="2"/>
        <v/>
      </c>
      <c r="S73" s="2" t="str">
        <f t="shared" si="3"/>
        <v/>
      </c>
      <c r="T73" s="2" t="str">
        <f t="shared" si="4"/>
        <v/>
      </c>
      <c r="U73" s="2">
        <f t="shared" si="5"/>
        <v>66</v>
      </c>
      <c r="V73" s="2">
        <f t="shared" si="6"/>
        <v>44</v>
      </c>
      <c r="W73" s="2">
        <f t="shared" si="7"/>
        <v>82</v>
      </c>
      <c r="X73" s="2" t="str">
        <f t="shared" si="8"/>
        <v/>
      </c>
      <c r="Y73" s="2" t="str">
        <f t="shared" si="9"/>
        <v/>
      </c>
      <c r="Z73" s="2" t="str">
        <f t="shared" si="10"/>
        <v/>
      </c>
      <c r="AA73" s="2">
        <f t="shared" si="11"/>
        <v>0</v>
      </c>
      <c r="AB73" s="2">
        <f t="shared" si="12"/>
        <v>0</v>
      </c>
      <c r="AC73" s="2" t="str">
        <f>VLOOKUP(A73,Regions!$A$2:$B$233,2)</f>
        <v>Sub-Saharan Africa</v>
      </c>
    </row>
    <row r="74">
      <c r="A74" s="1" t="s">
        <v>66</v>
      </c>
      <c r="B74" s="1">
        <v>2015.0</v>
      </c>
      <c r="C74" s="1">
        <v>36026.66797</v>
      </c>
      <c r="D74" s="1">
        <v>81.25900269</v>
      </c>
      <c r="E74" s="1">
        <v>99.22922139</v>
      </c>
      <c r="F74" s="1">
        <v>0.0</v>
      </c>
      <c r="G74" s="1">
        <v>0.7707786091</v>
      </c>
      <c r="H74" s="1">
        <v>0.0</v>
      </c>
      <c r="I74" s="1">
        <v>98.81619508</v>
      </c>
      <c r="J74" s="1">
        <v>0.0</v>
      </c>
      <c r="K74" s="1">
        <v>1.183804922</v>
      </c>
      <c r="L74" s="1">
        <v>0.0</v>
      </c>
      <c r="M74" s="1">
        <v>99.32447885</v>
      </c>
      <c r="N74" s="1">
        <v>0.0</v>
      </c>
      <c r="O74" s="1">
        <v>0.6755211473</v>
      </c>
      <c r="P74" s="1">
        <v>0.0</v>
      </c>
      <c r="Q74" s="2">
        <f t="shared" si="1"/>
        <v>5</v>
      </c>
      <c r="R74" s="2">
        <f t="shared" si="2"/>
        <v>-0.001482146</v>
      </c>
      <c r="S74" s="2">
        <f t="shared" si="3"/>
        <v>0.048860164</v>
      </c>
      <c r="T74" s="2">
        <f t="shared" si="4"/>
        <v>-0.013240238</v>
      </c>
      <c r="U74" s="2">
        <f t="shared" si="5"/>
        <v>99</v>
      </c>
      <c r="V74" s="2">
        <f t="shared" si="6"/>
        <v>99</v>
      </c>
      <c r="W74" s="2">
        <f t="shared" si="7"/>
        <v>99</v>
      </c>
      <c r="X74" s="2" t="str">
        <f t="shared" si="8"/>
        <v/>
      </c>
      <c r="Y74" s="2" t="str">
        <f t="shared" si="9"/>
        <v/>
      </c>
      <c r="Z74" s="2" t="str">
        <f t="shared" si="10"/>
        <v/>
      </c>
      <c r="AA74" s="2">
        <f t="shared" si="11"/>
        <v>0.062100402</v>
      </c>
      <c r="AB74" s="2">
        <f t="shared" si="12"/>
        <v>0.062100402</v>
      </c>
      <c r="AC74" s="2" t="str">
        <f>VLOOKUP(A74,Regions!$A$2:$B$233,2)</f>
        <v>North America</v>
      </c>
    </row>
    <row r="75">
      <c r="A75" s="1" t="s">
        <v>66</v>
      </c>
      <c r="B75" s="1">
        <v>2020.0</v>
      </c>
      <c r="C75" s="1">
        <v>37742.15625</v>
      </c>
      <c r="D75" s="1">
        <v>81.56200409</v>
      </c>
      <c r="E75" s="1">
        <v>99.22181066</v>
      </c>
      <c r="F75" s="1">
        <v>0.0</v>
      </c>
      <c r="G75" s="1">
        <v>0.7781893369</v>
      </c>
      <c r="H75" s="1">
        <v>0.0</v>
      </c>
      <c r="I75" s="1">
        <v>99.0604959</v>
      </c>
      <c r="J75" s="1">
        <v>0.0</v>
      </c>
      <c r="K75" s="1">
        <v>0.9395041006</v>
      </c>
      <c r="L75" s="1">
        <v>0.0</v>
      </c>
      <c r="M75" s="1">
        <v>99.25827766</v>
      </c>
      <c r="N75" s="1">
        <v>0.0</v>
      </c>
      <c r="O75" s="1">
        <v>0.7417223371</v>
      </c>
      <c r="P75" s="1">
        <v>0.0</v>
      </c>
      <c r="Q75" s="2" t="str">
        <f t="shared" si="1"/>
        <v/>
      </c>
      <c r="R75" s="2" t="str">
        <f t="shared" si="2"/>
        <v/>
      </c>
      <c r="S75" s="2" t="str">
        <f t="shared" si="3"/>
        <v/>
      </c>
      <c r="T75" s="2" t="str">
        <f t="shared" si="4"/>
        <v/>
      </c>
      <c r="U75" s="2">
        <f t="shared" si="5"/>
        <v>99</v>
      </c>
      <c r="V75" s="2">
        <f t="shared" si="6"/>
        <v>99</v>
      </c>
      <c r="W75" s="2">
        <f t="shared" si="7"/>
        <v>99</v>
      </c>
      <c r="X75" s="2" t="str">
        <f t="shared" si="8"/>
        <v/>
      </c>
      <c r="Y75" s="2" t="str">
        <f t="shared" si="9"/>
        <v/>
      </c>
      <c r="Z75" s="2" t="str">
        <f t="shared" si="10"/>
        <v/>
      </c>
      <c r="AA75" s="2">
        <f t="shared" si="11"/>
        <v>0</v>
      </c>
      <c r="AB75" s="2">
        <f t="shared" si="12"/>
        <v>0</v>
      </c>
      <c r="AC75" s="2" t="str">
        <f>VLOOKUP(A75,Regions!$A$2:$B$233,2)</f>
        <v>North America</v>
      </c>
    </row>
    <row r="76">
      <c r="A76" s="1" t="s">
        <v>67</v>
      </c>
      <c r="B76" s="1">
        <v>2015.0</v>
      </c>
      <c r="C76" s="1">
        <v>61.72100067</v>
      </c>
      <c r="D76" s="1">
        <v>100.0</v>
      </c>
      <c r="E76" s="1">
        <v>96.125</v>
      </c>
      <c r="F76" s="1">
        <v>0.0</v>
      </c>
      <c r="G76" s="1">
        <v>3.875</v>
      </c>
      <c r="H76" s="1">
        <v>0.0</v>
      </c>
      <c r="I76" s="1" t="s">
        <v>33</v>
      </c>
      <c r="J76" s="1" t="s">
        <v>33</v>
      </c>
      <c r="K76" s="1" t="s">
        <v>33</v>
      </c>
      <c r="L76" s="1" t="s">
        <v>33</v>
      </c>
      <c r="M76" s="1">
        <v>96.125</v>
      </c>
      <c r="N76" s="1">
        <v>0.0</v>
      </c>
      <c r="O76" s="1">
        <v>3.875</v>
      </c>
      <c r="P76" s="1">
        <v>0.0</v>
      </c>
      <c r="Q76" s="2">
        <f t="shared" si="1"/>
        <v>1</v>
      </c>
      <c r="R76" s="2">
        <f t="shared" si="2"/>
        <v>0</v>
      </c>
      <c r="S76" s="2" t="str">
        <f t="shared" si="3"/>
        <v>null</v>
      </c>
      <c r="T76" s="2">
        <f t="shared" si="4"/>
        <v>0</v>
      </c>
      <c r="U76" s="2">
        <f t="shared" si="5"/>
        <v>96</v>
      </c>
      <c r="V76" s="2" t="str">
        <f t="shared" si="6"/>
        <v>null</v>
      </c>
      <c r="W76" s="2">
        <f t="shared" si="7"/>
        <v>96</v>
      </c>
      <c r="X76" s="2" t="str">
        <f t="shared" si="8"/>
        <v/>
      </c>
      <c r="Y76" s="2" t="str">
        <f t="shared" si="9"/>
        <v/>
      </c>
      <c r="Z76" s="2" t="str">
        <f t="shared" si="10"/>
        <v/>
      </c>
      <c r="AA76" s="2" t="str">
        <f t="shared" si="11"/>
        <v>null</v>
      </c>
      <c r="AB76" s="2" t="str">
        <f t="shared" si="12"/>
        <v>null</v>
      </c>
      <c r="AC76" s="2" t="str">
        <f>VLOOKUP(A76,Regions!$A$2:$B$233,2)</f>
        <v>Latin America &amp; Caribbean</v>
      </c>
    </row>
    <row r="77">
      <c r="A77" s="1" t="s">
        <v>67</v>
      </c>
      <c r="B77" s="1">
        <v>2016.0</v>
      </c>
      <c r="C77" s="1">
        <v>62.56399918</v>
      </c>
      <c r="D77" s="1">
        <v>100.0</v>
      </c>
      <c r="E77" s="1">
        <v>96.125</v>
      </c>
      <c r="F77" s="1">
        <v>0.0</v>
      </c>
      <c r="G77" s="1">
        <v>3.875</v>
      </c>
      <c r="H77" s="1">
        <v>0.0</v>
      </c>
      <c r="I77" s="1" t="s">
        <v>33</v>
      </c>
      <c r="J77" s="1" t="s">
        <v>33</v>
      </c>
      <c r="K77" s="1" t="s">
        <v>33</v>
      </c>
      <c r="L77" s="1" t="s">
        <v>33</v>
      </c>
      <c r="M77" s="1">
        <v>96.125</v>
      </c>
      <c r="N77" s="1">
        <v>0.0</v>
      </c>
      <c r="O77" s="1">
        <v>3.875</v>
      </c>
      <c r="P77" s="1">
        <v>0.0</v>
      </c>
      <c r="Q77" s="2" t="str">
        <f t="shared" si="1"/>
        <v/>
      </c>
      <c r="R77" s="2" t="str">
        <f t="shared" si="2"/>
        <v/>
      </c>
      <c r="S77" s="2" t="str">
        <f t="shared" si="3"/>
        <v/>
      </c>
      <c r="T77" s="2" t="str">
        <f t="shared" si="4"/>
        <v/>
      </c>
      <c r="U77" s="2">
        <f t="shared" si="5"/>
        <v>96</v>
      </c>
      <c r="V77" s="2" t="str">
        <f t="shared" si="6"/>
        <v>null</v>
      </c>
      <c r="W77" s="2">
        <f t="shared" si="7"/>
        <v>96</v>
      </c>
      <c r="X77" s="2" t="str">
        <f t="shared" si="8"/>
        <v/>
      </c>
      <c r="Y77" s="2" t="str">
        <f t="shared" si="9"/>
        <v/>
      </c>
      <c r="Z77" s="2" t="str">
        <f t="shared" si="10"/>
        <v/>
      </c>
      <c r="AA77" s="2">
        <f t="shared" si="11"/>
        <v>0</v>
      </c>
      <c r="AB77" s="2">
        <f t="shared" si="12"/>
        <v>0</v>
      </c>
      <c r="AC77" s="2" t="str">
        <f>VLOOKUP(A77,Regions!$A$2:$B$233,2)</f>
        <v>Latin America &amp; Caribbean</v>
      </c>
    </row>
    <row r="78">
      <c r="A78" s="1" t="s">
        <v>68</v>
      </c>
      <c r="B78" s="1">
        <v>2015.0</v>
      </c>
      <c r="C78" s="1">
        <v>4493.170898</v>
      </c>
      <c r="D78" s="1">
        <v>40.27700043</v>
      </c>
      <c r="E78" s="1">
        <v>42.31134542</v>
      </c>
      <c r="F78" s="1">
        <v>21.34399718</v>
      </c>
      <c r="G78" s="1">
        <v>32.01017408</v>
      </c>
      <c r="H78" s="1">
        <v>4.334483318</v>
      </c>
      <c r="I78" s="1">
        <v>31.89140779</v>
      </c>
      <c r="J78" s="1">
        <v>17.35785358</v>
      </c>
      <c r="K78" s="1">
        <v>43.70260925</v>
      </c>
      <c r="L78" s="1">
        <v>7.048129392</v>
      </c>
      <c r="M78" s="1">
        <v>57.76209901</v>
      </c>
      <c r="N78" s="1">
        <v>27.25467806</v>
      </c>
      <c r="O78" s="1">
        <v>14.67255123</v>
      </c>
      <c r="P78" s="1">
        <v>0.310671709</v>
      </c>
      <c r="Q78" s="2">
        <f t="shared" si="1"/>
        <v>5</v>
      </c>
      <c r="R78" s="2">
        <f t="shared" si="2"/>
        <v>-1.021788674</v>
      </c>
      <c r="S78" s="2">
        <f t="shared" si="3"/>
        <v>-0.756962728</v>
      </c>
      <c r="T78" s="2">
        <f t="shared" si="4"/>
        <v>-1.620086812</v>
      </c>
      <c r="U78" s="2">
        <f t="shared" si="5"/>
        <v>42</v>
      </c>
      <c r="V78" s="2">
        <f t="shared" si="6"/>
        <v>32</v>
      </c>
      <c r="W78" s="2">
        <f t="shared" si="7"/>
        <v>58</v>
      </c>
      <c r="X78" s="2" t="str">
        <f t="shared" si="8"/>
        <v/>
      </c>
      <c r="Y78" s="2" t="str">
        <f t="shared" si="9"/>
        <v/>
      </c>
      <c r="Z78" s="2" t="str">
        <f t="shared" si="10"/>
        <v/>
      </c>
      <c r="AA78" s="2">
        <f t="shared" si="11"/>
        <v>0.863124084</v>
      </c>
      <c r="AB78" s="2">
        <f t="shared" si="12"/>
        <v>0.863124084</v>
      </c>
      <c r="AC78" s="2" t="str">
        <f>VLOOKUP(A78,Regions!$A$2:$B$233,2)</f>
        <v>Sub-Saharan Africa</v>
      </c>
    </row>
    <row r="79">
      <c r="A79" s="1" t="s">
        <v>68</v>
      </c>
      <c r="B79" s="1">
        <v>2020.0</v>
      </c>
      <c r="C79" s="1">
        <v>4829.76416</v>
      </c>
      <c r="D79" s="1">
        <v>42.19799805</v>
      </c>
      <c r="E79" s="1">
        <v>37.20240205</v>
      </c>
      <c r="F79" s="1">
        <v>25.68237348</v>
      </c>
      <c r="G79" s="1">
        <v>33.53911377</v>
      </c>
      <c r="H79" s="1">
        <v>3.576110708</v>
      </c>
      <c r="I79" s="1">
        <v>28.10659415</v>
      </c>
      <c r="J79" s="1">
        <v>19.4058899</v>
      </c>
      <c r="K79" s="1">
        <v>46.37307301</v>
      </c>
      <c r="L79" s="1">
        <v>6.114442944</v>
      </c>
      <c r="M79" s="1">
        <v>49.66166495</v>
      </c>
      <c r="N79" s="1">
        <v>34.27978009</v>
      </c>
      <c r="O79" s="1">
        <v>15.95940214</v>
      </c>
      <c r="P79" s="1">
        <v>0.09915281712</v>
      </c>
      <c r="Q79" s="2" t="str">
        <f t="shared" si="1"/>
        <v/>
      </c>
      <c r="R79" s="2" t="str">
        <f t="shared" si="2"/>
        <v/>
      </c>
      <c r="S79" s="2" t="str">
        <f t="shared" si="3"/>
        <v/>
      </c>
      <c r="T79" s="2" t="str">
        <f t="shared" si="4"/>
        <v/>
      </c>
      <c r="U79" s="2">
        <f t="shared" si="5"/>
        <v>37</v>
      </c>
      <c r="V79" s="2">
        <f t="shared" si="6"/>
        <v>28</v>
      </c>
      <c r="W79" s="2">
        <f t="shared" si="7"/>
        <v>50</v>
      </c>
      <c r="X79" s="2" t="str">
        <f t="shared" si="8"/>
        <v/>
      </c>
      <c r="Y79" s="2" t="str">
        <f t="shared" si="9"/>
        <v/>
      </c>
      <c r="Z79" s="2" t="str">
        <f t="shared" si="10"/>
        <v/>
      </c>
      <c r="AA79" s="2">
        <f t="shared" si="11"/>
        <v>0</v>
      </c>
      <c r="AB79" s="2">
        <f t="shared" si="12"/>
        <v>0</v>
      </c>
      <c r="AC79" s="2" t="str">
        <f>VLOOKUP(A79,Regions!$A$2:$B$233,2)</f>
        <v>Sub-Saharan Africa</v>
      </c>
    </row>
    <row r="80">
      <c r="A80" s="1" t="s">
        <v>69</v>
      </c>
      <c r="B80" s="1">
        <v>2015.0</v>
      </c>
      <c r="C80" s="1">
        <v>14110.9707</v>
      </c>
      <c r="D80" s="1">
        <v>22.5150013</v>
      </c>
      <c r="E80" s="1">
        <v>44.39909697</v>
      </c>
      <c r="F80" s="1">
        <v>13.51638311</v>
      </c>
      <c r="G80" s="1">
        <v>34.70273994</v>
      </c>
      <c r="H80" s="1">
        <v>7.381779982</v>
      </c>
      <c r="I80" s="1">
        <v>35.57890074</v>
      </c>
      <c r="J80" s="1">
        <v>13.87641398</v>
      </c>
      <c r="K80" s="1">
        <v>41.26615647</v>
      </c>
      <c r="L80" s="1">
        <v>9.278528806</v>
      </c>
      <c r="M80" s="1">
        <v>74.75365178</v>
      </c>
      <c r="N80" s="1">
        <v>12.27734182</v>
      </c>
      <c r="O80" s="1">
        <v>12.11485643</v>
      </c>
      <c r="P80" s="1">
        <v>0.8541499715</v>
      </c>
      <c r="Q80" s="2">
        <f t="shared" si="1"/>
        <v>5</v>
      </c>
      <c r="R80" s="2">
        <f t="shared" si="2"/>
        <v>0.357687564</v>
      </c>
      <c r="S80" s="2">
        <f t="shared" si="3"/>
        <v>0.399262902</v>
      </c>
      <c r="T80" s="2">
        <f t="shared" si="4"/>
        <v>-0.112285738</v>
      </c>
      <c r="U80" s="2">
        <f t="shared" si="5"/>
        <v>44</v>
      </c>
      <c r="V80" s="2">
        <f t="shared" si="6"/>
        <v>36</v>
      </c>
      <c r="W80" s="2">
        <f t="shared" si="7"/>
        <v>75</v>
      </c>
      <c r="X80" s="2" t="str">
        <f t="shared" si="8"/>
        <v/>
      </c>
      <c r="Y80" s="2" t="str">
        <f t="shared" si="9"/>
        <v/>
      </c>
      <c r="Z80" s="2" t="str">
        <f t="shared" si="10"/>
        <v/>
      </c>
      <c r="AA80" s="2">
        <f t="shared" si="11"/>
        <v>0.51154864</v>
      </c>
      <c r="AB80" s="2">
        <f t="shared" si="12"/>
        <v>0.51154864</v>
      </c>
      <c r="AC80" s="2" t="str">
        <f>VLOOKUP(A80,Regions!$A$2:$B$233,2)</f>
        <v>Sub-Saharan Africa</v>
      </c>
    </row>
    <row r="81">
      <c r="A81" s="1" t="s">
        <v>69</v>
      </c>
      <c r="B81" s="1">
        <v>2020.0</v>
      </c>
      <c r="C81" s="1">
        <v>16425.85938</v>
      </c>
      <c r="D81" s="1">
        <v>23.52000046</v>
      </c>
      <c r="E81" s="1">
        <v>46.18753479</v>
      </c>
      <c r="F81" s="1">
        <v>14.74028929</v>
      </c>
      <c r="G81" s="1">
        <v>31.56245714</v>
      </c>
      <c r="H81" s="1">
        <v>7.509718784</v>
      </c>
      <c r="I81" s="1">
        <v>37.57521525</v>
      </c>
      <c r="J81" s="1">
        <v>14.35396111</v>
      </c>
      <c r="K81" s="1">
        <v>38.52496761</v>
      </c>
      <c r="L81" s="1">
        <v>9.545856027</v>
      </c>
      <c r="M81" s="1">
        <v>74.19222309</v>
      </c>
      <c r="N81" s="1">
        <v>15.99651381</v>
      </c>
      <c r="O81" s="1">
        <v>8.922452721</v>
      </c>
      <c r="P81" s="1">
        <v>0.8888103843</v>
      </c>
      <c r="Q81" s="2" t="str">
        <f t="shared" si="1"/>
        <v/>
      </c>
      <c r="R81" s="2" t="str">
        <f t="shared" si="2"/>
        <v/>
      </c>
      <c r="S81" s="2" t="str">
        <f t="shared" si="3"/>
        <v/>
      </c>
      <c r="T81" s="2" t="str">
        <f t="shared" si="4"/>
        <v/>
      </c>
      <c r="U81" s="2">
        <f t="shared" si="5"/>
        <v>46</v>
      </c>
      <c r="V81" s="2">
        <f t="shared" si="6"/>
        <v>38</v>
      </c>
      <c r="W81" s="2">
        <f t="shared" si="7"/>
        <v>74</v>
      </c>
      <c r="X81" s="2" t="str">
        <f t="shared" si="8"/>
        <v/>
      </c>
      <c r="Y81" s="2" t="str">
        <f t="shared" si="9"/>
        <v/>
      </c>
      <c r="Z81" s="2" t="str">
        <f t="shared" si="10"/>
        <v/>
      </c>
      <c r="AA81" s="2">
        <f t="shared" si="11"/>
        <v>0</v>
      </c>
      <c r="AB81" s="2">
        <f t="shared" si="12"/>
        <v>0</v>
      </c>
      <c r="AC81" s="2" t="str">
        <f>VLOOKUP(A81,Regions!$A$2:$B$233,2)</f>
        <v>Sub-Saharan Africa</v>
      </c>
    </row>
    <row r="82">
      <c r="A82" s="1" t="s">
        <v>70</v>
      </c>
      <c r="B82" s="1">
        <v>2015.0</v>
      </c>
      <c r="C82" s="1">
        <v>165.3869934</v>
      </c>
      <c r="D82" s="1">
        <v>30.96199799</v>
      </c>
      <c r="E82" s="1">
        <v>94.15</v>
      </c>
      <c r="F82" s="1">
        <v>0.0</v>
      </c>
      <c r="G82" s="1">
        <v>5.85</v>
      </c>
      <c r="H82" s="1">
        <v>0.0</v>
      </c>
      <c r="I82" s="1" t="s">
        <v>33</v>
      </c>
      <c r="J82" s="1" t="s">
        <v>33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  <c r="Q82" s="2">
        <f t="shared" si="1"/>
        <v>2</v>
      </c>
      <c r="R82" s="2">
        <f t="shared" si="2"/>
        <v>0</v>
      </c>
      <c r="S82" s="2" t="str">
        <f t="shared" si="3"/>
        <v>null</v>
      </c>
      <c r="T82" s="2" t="str">
        <f t="shared" si="4"/>
        <v>null</v>
      </c>
      <c r="U82" s="2">
        <f t="shared" si="5"/>
        <v>94</v>
      </c>
      <c r="V82" s="2" t="str">
        <f t="shared" si="6"/>
        <v>null</v>
      </c>
      <c r="W82" s="2" t="str">
        <f t="shared" si="7"/>
        <v>null</v>
      </c>
      <c r="X82" s="2" t="str">
        <f t="shared" si="8"/>
        <v/>
      </c>
      <c r="Y82" s="2" t="str">
        <f t="shared" si="9"/>
        <v/>
      </c>
      <c r="Z82" s="2" t="str">
        <f t="shared" si="10"/>
        <v/>
      </c>
      <c r="AA82" s="2" t="str">
        <f t="shared" si="11"/>
        <v>null</v>
      </c>
      <c r="AB82" s="2" t="str">
        <f t="shared" si="12"/>
        <v>null</v>
      </c>
      <c r="AC82" s="2" t="str">
        <f>VLOOKUP(A82,Regions!$A$2:$B$233,2)</f>
        <v>Europe &amp; Central Asia</v>
      </c>
    </row>
    <row r="83">
      <c r="A83" s="1" t="s">
        <v>70</v>
      </c>
      <c r="B83" s="1">
        <v>2017.0</v>
      </c>
      <c r="C83" s="1">
        <v>168.6660004</v>
      </c>
      <c r="D83" s="1">
        <v>30.91399956</v>
      </c>
      <c r="E83" s="1">
        <v>94.15</v>
      </c>
      <c r="F83" s="1">
        <v>0.0</v>
      </c>
      <c r="G83" s="1">
        <v>5.85</v>
      </c>
      <c r="H83" s="1">
        <v>0.0</v>
      </c>
      <c r="I83" s="1" t="s">
        <v>33</v>
      </c>
      <c r="J83" s="1" t="s">
        <v>33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33</v>
      </c>
      <c r="P83" s="1" t="s">
        <v>33</v>
      </c>
      <c r="Q83" s="2" t="str">
        <f t="shared" si="1"/>
        <v/>
      </c>
      <c r="R83" s="2" t="str">
        <f t="shared" si="2"/>
        <v/>
      </c>
      <c r="S83" s="2" t="str">
        <f t="shared" si="3"/>
        <v/>
      </c>
      <c r="T83" s="2" t="str">
        <f t="shared" si="4"/>
        <v/>
      </c>
      <c r="U83" s="2">
        <f t="shared" si="5"/>
        <v>94</v>
      </c>
      <c r="V83" s="2" t="str">
        <f t="shared" si="6"/>
        <v>null</v>
      </c>
      <c r="W83" s="2" t="str">
        <f t="shared" si="7"/>
        <v>null</v>
      </c>
      <c r="X83" s="2" t="str">
        <f t="shared" si="8"/>
        <v/>
      </c>
      <c r="Y83" s="2" t="str">
        <f t="shared" si="9"/>
        <v/>
      </c>
      <c r="Z83" s="2" t="str">
        <f t="shared" si="10"/>
        <v/>
      </c>
      <c r="AA83" s="2">
        <f t="shared" si="11"/>
        <v>0</v>
      </c>
      <c r="AB83" s="2">
        <f t="shared" si="12"/>
        <v>0</v>
      </c>
      <c r="AC83" s="2" t="str">
        <f>VLOOKUP(A83,Regions!$A$2:$B$233,2)</f>
        <v>Europe &amp; Central Asia</v>
      </c>
    </row>
    <row r="84">
      <c r="A84" s="1" t="s">
        <v>71</v>
      </c>
      <c r="B84" s="1">
        <v>2015.0</v>
      </c>
      <c r="C84" s="1">
        <v>17969.35547</v>
      </c>
      <c r="D84" s="1">
        <v>87.36000061</v>
      </c>
      <c r="E84" s="1">
        <v>99.50649272</v>
      </c>
      <c r="F84" s="1">
        <v>0.0</v>
      </c>
      <c r="G84" s="1">
        <v>0.4935072758</v>
      </c>
      <c r="H84" s="1">
        <v>0.0</v>
      </c>
      <c r="I84" s="1">
        <v>97.0676985</v>
      </c>
      <c r="J84" s="1">
        <v>0.0</v>
      </c>
      <c r="K84" s="1">
        <v>2.932301498</v>
      </c>
      <c r="L84" s="1">
        <v>0.0</v>
      </c>
      <c r="M84" s="1">
        <v>99.85935698</v>
      </c>
      <c r="N84" s="1">
        <v>0.0</v>
      </c>
      <c r="O84" s="1">
        <v>0.1406430186</v>
      </c>
      <c r="P84" s="1">
        <v>0.0</v>
      </c>
      <c r="Q84" s="2">
        <f t="shared" si="1"/>
        <v>5</v>
      </c>
      <c r="R84" s="2">
        <f t="shared" si="2"/>
        <v>0.0987012</v>
      </c>
      <c r="S84" s="2">
        <f t="shared" si="3"/>
        <v>0.5864603</v>
      </c>
      <c r="T84" s="2">
        <f t="shared" si="4"/>
        <v>0.028128604</v>
      </c>
      <c r="U84" s="2">
        <f t="shared" si="5"/>
        <v>100</v>
      </c>
      <c r="V84" s="2">
        <f t="shared" si="6"/>
        <v>97</v>
      </c>
      <c r="W84" s="2">
        <f t="shared" si="7"/>
        <v>100</v>
      </c>
      <c r="X84" s="2" t="str">
        <f t="shared" si="8"/>
        <v>full access</v>
      </c>
      <c r="Y84" s="2" t="str">
        <f t="shared" si="9"/>
        <v/>
      </c>
      <c r="Z84" s="2" t="str">
        <f t="shared" si="10"/>
        <v>full access</v>
      </c>
      <c r="AA84" s="2">
        <f t="shared" si="11"/>
        <v>0.558331696</v>
      </c>
      <c r="AB84" s="2">
        <f t="shared" si="12"/>
        <v>0.558331696</v>
      </c>
      <c r="AC84" s="2" t="str">
        <f>VLOOKUP(A84,Regions!$A$2:$B$233,2)</f>
        <v>Latin America &amp; Caribbean</v>
      </c>
    </row>
    <row r="85">
      <c r="A85" s="1" t="s">
        <v>71</v>
      </c>
      <c r="B85" s="1">
        <v>2020.0</v>
      </c>
      <c r="C85" s="1">
        <v>19116.20898</v>
      </c>
      <c r="D85" s="1">
        <v>87.72699738</v>
      </c>
      <c r="E85" s="1">
        <v>99.99999872</v>
      </c>
      <c r="F85" s="1">
        <v>0.0</v>
      </c>
      <c r="G85" s="1">
        <v>1.277139333E-6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100.0</v>
      </c>
      <c r="N85" s="1">
        <v>0.0</v>
      </c>
      <c r="O85" s="1">
        <v>0.0</v>
      </c>
      <c r="P85" s="1">
        <v>0.0</v>
      </c>
      <c r="Q85" s="2" t="str">
        <f t="shared" si="1"/>
        <v/>
      </c>
      <c r="R85" s="2" t="str">
        <f t="shared" si="2"/>
        <v/>
      </c>
      <c r="S85" s="2" t="str">
        <f t="shared" si="3"/>
        <v/>
      </c>
      <c r="T85" s="2" t="str">
        <f t="shared" si="4"/>
        <v/>
      </c>
      <c r="U85" s="2">
        <f t="shared" si="5"/>
        <v>100</v>
      </c>
      <c r="V85" s="2">
        <f t="shared" si="6"/>
        <v>100</v>
      </c>
      <c r="W85" s="2">
        <f t="shared" si="7"/>
        <v>100</v>
      </c>
      <c r="X85" s="2" t="str">
        <f t="shared" si="8"/>
        <v/>
      </c>
      <c r="Y85" s="2" t="str">
        <f t="shared" si="9"/>
        <v/>
      </c>
      <c r="Z85" s="2" t="str">
        <f t="shared" si="10"/>
        <v/>
      </c>
      <c r="AA85" s="2">
        <f t="shared" si="11"/>
        <v>0</v>
      </c>
      <c r="AB85" s="2">
        <f t="shared" si="12"/>
        <v>0</v>
      </c>
      <c r="AC85" s="2" t="str">
        <f>VLOOKUP(A85,Regions!$A$2:$B$233,2)</f>
        <v>Latin America &amp; Caribbean</v>
      </c>
    </row>
    <row r="86">
      <c r="A86" s="1" t="s">
        <v>72</v>
      </c>
      <c r="B86" s="1">
        <v>2015.0</v>
      </c>
      <c r="C86" s="1">
        <v>1430405.375</v>
      </c>
      <c r="D86" s="1">
        <v>55.85270691</v>
      </c>
      <c r="E86" s="1">
        <v>91.76264123</v>
      </c>
      <c r="F86" s="1">
        <v>0.8187626618</v>
      </c>
      <c r="G86" s="1">
        <v>6.782077407</v>
      </c>
      <c r="H86" s="1">
        <v>0.6365187008</v>
      </c>
      <c r="I86" s="1">
        <v>84.47918792</v>
      </c>
      <c r="J86" s="1">
        <v>1.51186307</v>
      </c>
      <c r="K86" s="1">
        <v>12.95294901</v>
      </c>
      <c r="L86" s="1">
        <v>1.056</v>
      </c>
      <c r="M86" s="1">
        <v>97.51965397</v>
      </c>
      <c r="N86" s="1">
        <v>0.2709198039</v>
      </c>
      <c r="O86" s="1">
        <v>1.90447541</v>
      </c>
      <c r="P86" s="1">
        <v>0.3049508197</v>
      </c>
      <c r="Q86" s="2">
        <f t="shared" si="1"/>
        <v>5</v>
      </c>
      <c r="R86" s="2">
        <f t="shared" si="2"/>
        <v>0.499693872</v>
      </c>
      <c r="S86" s="2">
        <f t="shared" si="3"/>
        <v>1.036409118</v>
      </c>
      <c r="T86" s="2">
        <f t="shared" si="4"/>
        <v>-0.08095426</v>
      </c>
      <c r="U86" s="2">
        <f t="shared" si="5"/>
        <v>92</v>
      </c>
      <c r="V86" s="2">
        <f t="shared" si="6"/>
        <v>84</v>
      </c>
      <c r="W86" s="2">
        <f t="shared" si="7"/>
        <v>98</v>
      </c>
      <c r="X86" s="2" t="str">
        <f t="shared" si="8"/>
        <v/>
      </c>
      <c r="Y86" s="2" t="str">
        <f t="shared" si="9"/>
        <v/>
      </c>
      <c r="Z86" s="2" t="str">
        <f t="shared" si="10"/>
        <v/>
      </c>
      <c r="AA86" s="2">
        <f t="shared" si="11"/>
        <v>1.117363378</v>
      </c>
      <c r="AB86" s="2">
        <f t="shared" si="12"/>
        <v>1.117363378</v>
      </c>
      <c r="AC86" s="2" t="str">
        <f>VLOOKUP(A86,Regions!$A$2:$B$233,2)</f>
        <v>East Asia &amp; Pacific</v>
      </c>
    </row>
    <row r="87">
      <c r="A87" s="1" t="s">
        <v>72</v>
      </c>
      <c r="B87" s="1">
        <v>2020.0</v>
      </c>
      <c r="C87" s="1">
        <v>1463140.5</v>
      </c>
      <c r="D87" s="1">
        <v>61.71308899</v>
      </c>
      <c r="E87" s="1">
        <v>94.26111059</v>
      </c>
      <c r="F87" s="1">
        <v>0.8147213297</v>
      </c>
      <c r="G87" s="1">
        <v>4.725451938</v>
      </c>
      <c r="H87" s="1">
        <v>0.1987161441</v>
      </c>
      <c r="I87" s="1">
        <v>89.66123351</v>
      </c>
      <c r="J87" s="1">
        <v>1.832679086</v>
      </c>
      <c r="K87" s="1">
        <v>8.506087409</v>
      </c>
      <c r="L87" s="1">
        <v>0.0</v>
      </c>
      <c r="M87" s="1">
        <v>97.11488267</v>
      </c>
      <c r="N87" s="1">
        <v>0.1831784927</v>
      </c>
      <c r="O87" s="1">
        <v>2.37993884</v>
      </c>
      <c r="P87" s="1">
        <v>0.322</v>
      </c>
      <c r="Q87" s="2" t="str">
        <f t="shared" si="1"/>
        <v/>
      </c>
      <c r="R87" s="2" t="str">
        <f t="shared" si="2"/>
        <v/>
      </c>
      <c r="S87" s="2" t="str">
        <f t="shared" si="3"/>
        <v/>
      </c>
      <c r="T87" s="2" t="str">
        <f t="shared" si="4"/>
        <v/>
      </c>
      <c r="U87" s="2">
        <f t="shared" si="5"/>
        <v>94</v>
      </c>
      <c r="V87" s="2">
        <f t="shared" si="6"/>
        <v>90</v>
      </c>
      <c r="W87" s="2">
        <f t="shared" si="7"/>
        <v>97</v>
      </c>
      <c r="X87" s="2" t="str">
        <f t="shared" si="8"/>
        <v/>
      </c>
      <c r="Y87" s="2" t="str">
        <f t="shared" si="9"/>
        <v/>
      </c>
      <c r="Z87" s="2" t="str">
        <f t="shared" si="10"/>
        <v/>
      </c>
      <c r="AA87" s="2">
        <f t="shared" si="11"/>
        <v>0</v>
      </c>
      <c r="AB87" s="2">
        <f t="shared" si="12"/>
        <v>0</v>
      </c>
      <c r="AC87" s="2" t="str">
        <f>VLOOKUP(A87,Regions!$A$2:$B$233,2)</f>
        <v>East Asia &amp; Pacific</v>
      </c>
    </row>
    <row r="88">
      <c r="A88" s="1" t="s">
        <v>73</v>
      </c>
      <c r="B88" s="1">
        <v>2015.0</v>
      </c>
      <c r="C88" s="1">
        <v>7185.992188</v>
      </c>
      <c r="D88" s="1">
        <v>100.0</v>
      </c>
      <c r="E88" s="1">
        <v>100.0</v>
      </c>
      <c r="F88" s="1">
        <v>0.0</v>
      </c>
      <c r="G88" s="1">
        <v>0.0</v>
      </c>
      <c r="H88" s="1">
        <v>0.0</v>
      </c>
      <c r="I88" s="1" t="s">
        <v>33</v>
      </c>
      <c r="J88" s="1" t="s">
        <v>33</v>
      </c>
      <c r="K88" s="1" t="s">
        <v>33</v>
      </c>
      <c r="L88" s="1" t="s">
        <v>33</v>
      </c>
      <c r="M88" s="1">
        <v>100.0</v>
      </c>
      <c r="N88" s="1">
        <v>0.0</v>
      </c>
      <c r="O88" s="1">
        <v>0.0</v>
      </c>
      <c r="P88" s="1">
        <v>0.0</v>
      </c>
      <c r="Q88" s="2">
        <f t="shared" si="1"/>
        <v>5</v>
      </c>
      <c r="R88" s="2">
        <f t="shared" si="2"/>
        <v>0</v>
      </c>
      <c r="S88" s="2" t="str">
        <f t="shared" si="3"/>
        <v>null</v>
      </c>
      <c r="T88" s="2">
        <f t="shared" si="4"/>
        <v>0</v>
      </c>
      <c r="U88" s="2">
        <f t="shared" si="5"/>
        <v>100</v>
      </c>
      <c r="V88" s="2" t="str">
        <f t="shared" si="6"/>
        <v>null</v>
      </c>
      <c r="W88" s="2">
        <f t="shared" si="7"/>
        <v>100</v>
      </c>
      <c r="X88" s="2" t="str">
        <f t="shared" si="8"/>
        <v>full access</v>
      </c>
      <c r="Y88" s="2" t="str">
        <f t="shared" si="9"/>
        <v/>
      </c>
      <c r="Z88" s="2" t="str">
        <f t="shared" si="10"/>
        <v>full access</v>
      </c>
      <c r="AA88" s="2" t="str">
        <f t="shared" si="11"/>
        <v>null</v>
      </c>
      <c r="AB88" s="2" t="str">
        <f t="shared" si="12"/>
        <v>null</v>
      </c>
      <c r="AC88" s="2" t="str">
        <f>VLOOKUP(A88,Regions!$A$2:$B$233,2)</f>
        <v>East Asia &amp; Pacific</v>
      </c>
    </row>
    <row r="89">
      <c r="A89" s="1" t="s">
        <v>73</v>
      </c>
      <c r="B89" s="1">
        <v>2020.0</v>
      </c>
      <c r="C89" s="1">
        <v>7496.987793</v>
      </c>
      <c r="D89" s="1">
        <v>100.0</v>
      </c>
      <c r="E89" s="1">
        <v>100.0</v>
      </c>
      <c r="F89" s="1">
        <v>0.0</v>
      </c>
      <c r="G89" s="1">
        <v>0.0</v>
      </c>
      <c r="H89" s="1">
        <v>0.0</v>
      </c>
      <c r="I89" s="1" t="s">
        <v>33</v>
      </c>
      <c r="J89" s="1" t="s">
        <v>33</v>
      </c>
      <c r="K89" s="1" t="s">
        <v>33</v>
      </c>
      <c r="L89" s="1" t="s">
        <v>33</v>
      </c>
      <c r="M89" s="1">
        <v>100.0</v>
      </c>
      <c r="N89" s="1">
        <v>0.0</v>
      </c>
      <c r="O89" s="1">
        <v>0.0</v>
      </c>
      <c r="P89" s="1">
        <v>0.0</v>
      </c>
      <c r="Q89" s="2" t="str">
        <f t="shared" si="1"/>
        <v/>
      </c>
      <c r="R89" s="2" t="str">
        <f t="shared" si="2"/>
        <v/>
      </c>
      <c r="S89" s="2" t="str">
        <f t="shared" si="3"/>
        <v/>
      </c>
      <c r="T89" s="2" t="str">
        <f t="shared" si="4"/>
        <v/>
      </c>
      <c r="U89" s="2">
        <f t="shared" si="5"/>
        <v>100</v>
      </c>
      <c r="V89" s="2" t="str">
        <f t="shared" si="6"/>
        <v>null</v>
      </c>
      <c r="W89" s="2">
        <f t="shared" si="7"/>
        <v>100</v>
      </c>
      <c r="X89" s="2" t="str">
        <f t="shared" si="8"/>
        <v/>
      </c>
      <c r="Y89" s="2" t="str">
        <f t="shared" si="9"/>
        <v/>
      </c>
      <c r="Z89" s="2" t="str">
        <f t="shared" si="10"/>
        <v/>
      </c>
      <c r="AA89" s="2">
        <f t="shared" si="11"/>
        <v>0</v>
      </c>
      <c r="AB89" s="2">
        <f t="shared" si="12"/>
        <v>0</v>
      </c>
      <c r="AC89" s="2" t="str">
        <f>VLOOKUP(A89,Regions!$A$2:$B$233,2)</f>
        <v>East Asia &amp; Pacific</v>
      </c>
    </row>
    <row r="90">
      <c r="A90" s="1" t="s">
        <v>74</v>
      </c>
      <c r="B90" s="1">
        <v>2015.0</v>
      </c>
      <c r="C90" s="1">
        <v>602.0930176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33</v>
      </c>
      <c r="J90" s="1" t="s">
        <v>33</v>
      </c>
      <c r="K90" s="1" t="s">
        <v>33</v>
      </c>
      <c r="L90" s="1" t="s">
        <v>33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5</v>
      </c>
      <c r="R90" s="2">
        <f t="shared" si="2"/>
        <v>0</v>
      </c>
      <c r="S90" s="2" t="str">
        <f t="shared" si="3"/>
        <v>null</v>
      </c>
      <c r="T90" s="2">
        <f t="shared" si="4"/>
        <v>0</v>
      </c>
      <c r="U90" s="2">
        <f t="shared" si="5"/>
        <v>100</v>
      </c>
      <c r="V90" s="2" t="str">
        <f t="shared" si="6"/>
        <v>null</v>
      </c>
      <c r="W90" s="2">
        <f t="shared" si="7"/>
        <v>100</v>
      </c>
      <c r="X90" s="2" t="str">
        <f t="shared" si="8"/>
        <v>full access</v>
      </c>
      <c r="Y90" s="2" t="str">
        <f t="shared" si="9"/>
        <v/>
      </c>
      <c r="Z90" s="2" t="str">
        <f t="shared" si="10"/>
        <v>full access</v>
      </c>
      <c r="AA90" s="2" t="str">
        <f t="shared" si="11"/>
        <v>null</v>
      </c>
      <c r="AB90" s="2" t="str">
        <f t="shared" si="12"/>
        <v>null</v>
      </c>
      <c r="AC90" s="2" t="str">
        <f>VLOOKUP(A90,Regions!$A$2:$B$233,2)</f>
        <v>East Asia &amp; Pacific</v>
      </c>
    </row>
    <row r="91">
      <c r="A91" s="1" t="s">
        <v>74</v>
      </c>
      <c r="B91" s="1">
        <v>2020.0</v>
      </c>
      <c r="C91" s="1">
        <v>649.34198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33</v>
      </c>
      <c r="J91" s="1" t="s">
        <v>33</v>
      </c>
      <c r="K91" s="1" t="s">
        <v>33</v>
      </c>
      <c r="L91" s="1" t="s">
        <v>33</v>
      </c>
      <c r="M91" s="1">
        <v>100.0</v>
      </c>
      <c r="N91" s="1">
        <v>0.0</v>
      </c>
      <c r="O91" s="1">
        <v>0.0</v>
      </c>
      <c r="P91" s="1">
        <v>0.0</v>
      </c>
      <c r="Q91" s="2" t="str">
        <f t="shared" si="1"/>
        <v/>
      </c>
      <c r="R91" s="2" t="str">
        <f t="shared" si="2"/>
        <v/>
      </c>
      <c r="S91" s="2" t="str">
        <f t="shared" si="3"/>
        <v/>
      </c>
      <c r="T91" s="2" t="str">
        <f t="shared" si="4"/>
        <v/>
      </c>
      <c r="U91" s="2">
        <f t="shared" si="5"/>
        <v>100</v>
      </c>
      <c r="V91" s="2" t="str">
        <f t="shared" si="6"/>
        <v>null</v>
      </c>
      <c r="W91" s="2">
        <f t="shared" si="7"/>
        <v>100</v>
      </c>
      <c r="X91" s="2" t="str">
        <f t="shared" si="8"/>
        <v/>
      </c>
      <c r="Y91" s="2" t="str">
        <f t="shared" si="9"/>
        <v/>
      </c>
      <c r="Z91" s="2" t="str">
        <f t="shared" si="10"/>
        <v/>
      </c>
      <c r="AA91" s="2">
        <f t="shared" si="11"/>
        <v>0</v>
      </c>
      <c r="AB91" s="2">
        <f t="shared" si="12"/>
        <v>0</v>
      </c>
      <c r="AC91" s="2" t="str">
        <f>VLOOKUP(A91,Regions!$A$2:$B$233,2)</f>
        <v>East Asia &amp; Pacific</v>
      </c>
    </row>
    <row r="92">
      <c r="A92" s="1" t="s">
        <v>75</v>
      </c>
      <c r="B92" s="1">
        <v>2015.0</v>
      </c>
      <c r="C92" s="1">
        <v>47520.66797</v>
      </c>
      <c r="D92" s="1">
        <v>79.76399994</v>
      </c>
      <c r="E92" s="1">
        <v>96.33586812</v>
      </c>
      <c r="F92" s="1">
        <v>0.1840519904</v>
      </c>
      <c r="G92" s="1">
        <v>1.703445062</v>
      </c>
      <c r="H92" s="1">
        <v>1.776634827</v>
      </c>
      <c r="I92" s="1">
        <v>83.27372585</v>
      </c>
      <c r="J92" s="1">
        <v>0.6876656261</v>
      </c>
      <c r="K92" s="1">
        <v>7.259032355</v>
      </c>
      <c r="L92" s="1">
        <v>8.779576172</v>
      </c>
      <c r="M92" s="1">
        <v>99.64971237</v>
      </c>
      <c r="N92" s="1">
        <v>0.05628603022</v>
      </c>
      <c r="O92" s="1">
        <v>0.2940016029</v>
      </c>
      <c r="P92" s="1">
        <v>0.0</v>
      </c>
      <c r="Q92" s="2">
        <f t="shared" si="1"/>
        <v>5</v>
      </c>
      <c r="R92" s="2">
        <f t="shared" si="2"/>
        <v>0.231157798</v>
      </c>
      <c r="S92" s="2">
        <f t="shared" si="3"/>
        <v>0.698669394</v>
      </c>
      <c r="T92" s="2">
        <f t="shared" si="4"/>
        <v>0.057696086</v>
      </c>
      <c r="U92" s="2">
        <f t="shared" si="5"/>
        <v>96</v>
      </c>
      <c r="V92" s="2">
        <f t="shared" si="6"/>
        <v>83</v>
      </c>
      <c r="W92" s="2">
        <f t="shared" si="7"/>
        <v>100</v>
      </c>
      <c r="X92" s="2" t="str">
        <f t="shared" si="8"/>
        <v/>
      </c>
      <c r="Y92" s="2" t="str">
        <f t="shared" si="9"/>
        <v/>
      </c>
      <c r="Z92" s="2" t="str">
        <f t="shared" si="10"/>
        <v>full access</v>
      </c>
      <c r="AA92" s="2">
        <f t="shared" si="11"/>
        <v>0.640973308</v>
      </c>
      <c r="AB92" s="2">
        <f t="shared" si="12"/>
        <v>0.640973308</v>
      </c>
      <c r="AC92" s="2" t="str">
        <f>VLOOKUP(A92,Regions!$A$2:$B$233,2)</f>
        <v>Latin America &amp; Caribbean</v>
      </c>
    </row>
    <row r="93">
      <c r="A93" s="1" t="s">
        <v>75</v>
      </c>
      <c r="B93" s="1">
        <v>2020.0</v>
      </c>
      <c r="C93" s="1">
        <v>50882.88281</v>
      </c>
      <c r="D93" s="1">
        <v>81.42499542</v>
      </c>
      <c r="E93" s="1">
        <v>97.49165711</v>
      </c>
      <c r="F93" s="1">
        <v>0.1861521591</v>
      </c>
      <c r="G93" s="1">
        <v>0.9536162228</v>
      </c>
      <c r="H93" s="1">
        <v>1.368574512</v>
      </c>
      <c r="I93" s="1">
        <v>86.76707282</v>
      </c>
      <c r="J93" s="1">
        <v>0.7312282016</v>
      </c>
      <c r="K93" s="1">
        <v>5.13386897</v>
      </c>
      <c r="L93" s="1">
        <v>7.367830005</v>
      </c>
      <c r="M93" s="1">
        <v>99.9381928</v>
      </c>
      <c r="N93" s="1">
        <v>0.0618072</v>
      </c>
      <c r="O93" s="1">
        <v>0.0</v>
      </c>
      <c r="P93" s="1">
        <v>0.0</v>
      </c>
      <c r="Q93" s="2" t="str">
        <f t="shared" si="1"/>
        <v/>
      </c>
      <c r="R93" s="2" t="str">
        <f t="shared" si="2"/>
        <v/>
      </c>
      <c r="S93" s="2" t="str">
        <f t="shared" si="3"/>
        <v/>
      </c>
      <c r="T93" s="2" t="str">
        <f t="shared" si="4"/>
        <v/>
      </c>
      <c r="U93" s="2">
        <f t="shared" si="5"/>
        <v>97</v>
      </c>
      <c r="V93" s="2">
        <f t="shared" si="6"/>
        <v>87</v>
      </c>
      <c r="W93" s="2">
        <f t="shared" si="7"/>
        <v>100</v>
      </c>
      <c r="X93" s="2" t="str">
        <f t="shared" si="8"/>
        <v/>
      </c>
      <c r="Y93" s="2" t="str">
        <f t="shared" si="9"/>
        <v/>
      </c>
      <c r="Z93" s="2" t="str">
        <f t="shared" si="10"/>
        <v/>
      </c>
      <c r="AA93" s="2">
        <f t="shared" si="11"/>
        <v>0</v>
      </c>
      <c r="AB93" s="2">
        <f t="shared" si="12"/>
        <v>0</v>
      </c>
      <c r="AC93" s="2" t="str">
        <f>VLOOKUP(A93,Regions!$A$2:$B$233,2)</f>
        <v>Latin America &amp; Caribbean</v>
      </c>
    </row>
    <row r="94">
      <c r="A94" s="1" t="s">
        <v>76</v>
      </c>
      <c r="B94" s="1">
        <v>2015.0</v>
      </c>
      <c r="C94" s="1">
        <v>777.4349976</v>
      </c>
      <c r="D94" s="1">
        <v>28.47000122</v>
      </c>
      <c r="E94" s="1">
        <v>80.13200008</v>
      </c>
      <c r="F94" s="1">
        <v>10.877265</v>
      </c>
      <c r="G94" s="1">
        <v>8.395193432</v>
      </c>
      <c r="H94" s="1">
        <v>0.5955414912</v>
      </c>
      <c r="I94" s="1">
        <v>76.91172345</v>
      </c>
      <c r="J94" s="1">
        <v>11.56864724</v>
      </c>
      <c r="K94" s="1">
        <v>10.82245445</v>
      </c>
      <c r="L94" s="1">
        <v>0.6971748583</v>
      </c>
      <c r="M94" s="1">
        <v>88.22284558</v>
      </c>
      <c r="N94" s="1">
        <v>9.140188495</v>
      </c>
      <c r="O94" s="1">
        <v>2.29677513</v>
      </c>
      <c r="P94" s="1">
        <v>0.340190797</v>
      </c>
      <c r="Q94" s="2">
        <f t="shared" si="1"/>
        <v>4</v>
      </c>
      <c r="R94" s="2">
        <f t="shared" si="2"/>
        <v>0.0196244325</v>
      </c>
      <c r="S94" s="2">
        <f t="shared" si="3"/>
        <v>0</v>
      </c>
      <c r="T94" s="2">
        <f t="shared" si="4"/>
        <v>0</v>
      </c>
      <c r="U94" s="2">
        <f t="shared" si="5"/>
        <v>80</v>
      </c>
      <c r="V94" s="2">
        <f t="shared" si="6"/>
        <v>77</v>
      </c>
      <c r="W94" s="2">
        <f t="shared" si="7"/>
        <v>88</v>
      </c>
      <c r="X94" s="2" t="str">
        <f t="shared" si="8"/>
        <v/>
      </c>
      <c r="Y94" s="2" t="str">
        <f t="shared" si="9"/>
        <v/>
      </c>
      <c r="Z94" s="2" t="str">
        <f t="shared" si="10"/>
        <v/>
      </c>
      <c r="AA94" s="2">
        <f t="shared" si="11"/>
        <v>0</v>
      </c>
      <c r="AB94" s="2">
        <f t="shared" si="12"/>
        <v>0</v>
      </c>
      <c r="AC94" s="2" t="str">
        <f>VLOOKUP(A94,Regions!$A$2:$B$233,2)</f>
        <v>Sub-Saharan Africa</v>
      </c>
    </row>
    <row r="95">
      <c r="A95" s="1" t="s">
        <v>76</v>
      </c>
      <c r="B95" s="1">
        <v>2019.0</v>
      </c>
      <c r="C95" s="1">
        <v>850.8909912</v>
      </c>
      <c r="D95" s="1">
        <v>29.16400146</v>
      </c>
      <c r="E95" s="1">
        <v>80.21049781</v>
      </c>
      <c r="F95" s="1">
        <v>10.86041131</v>
      </c>
      <c r="G95" s="1">
        <v>8.929090888</v>
      </c>
      <c r="H95" s="1" t="s">
        <v>33</v>
      </c>
      <c r="I95" s="1">
        <v>76.91172345</v>
      </c>
      <c r="J95" s="1">
        <v>11.56864724</v>
      </c>
      <c r="K95" s="1">
        <v>11.51962931</v>
      </c>
      <c r="L95" s="1" t="s">
        <v>33</v>
      </c>
      <c r="M95" s="1">
        <v>88.22284558</v>
      </c>
      <c r="N95" s="1">
        <v>9.140188495</v>
      </c>
      <c r="O95" s="1">
        <v>2.29677513</v>
      </c>
      <c r="P95" s="1">
        <v>0.340190797</v>
      </c>
      <c r="Q95" s="2" t="str">
        <f t="shared" si="1"/>
        <v/>
      </c>
      <c r="R95" s="2" t="str">
        <f t="shared" si="2"/>
        <v/>
      </c>
      <c r="S95" s="2" t="str">
        <f t="shared" si="3"/>
        <v/>
      </c>
      <c r="T95" s="2" t="str">
        <f t="shared" si="4"/>
        <v/>
      </c>
      <c r="U95" s="2">
        <f t="shared" si="5"/>
        <v>80</v>
      </c>
      <c r="V95" s="2">
        <f t="shared" si="6"/>
        <v>77</v>
      </c>
      <c r="W95" s="2">
        <f t="shared" si="7"/>
        <v>88</v>
      </c>
      <c r="X95" s="2" t="str">
        <f t="shared" si="8"/>
        <v/>
      </c>
      <c r="Y95" s="2" t="str">
        <f t="shared" si="9"/>
        <v/>
      </c>
      <c r="Z95" s="2" t="str">
        <f t="shared" si="10"/>
        <v/>
      </c>
      <c r="AA95" s="2">
        <f t="shared" si="11"/>
        <v>0</v>
      </c>
      <c r="AB95" s="2">
        <f t="shared" si="12"/>
        <v>0</v>
      </c>
      <c r="AC95" s="2" t="str">
        <f>VLOOKUP(A95,Regions!$A$2:$B$233,2)</f>
        <v>Sub-Saharan Africa</v>
      </c>
    </row>
    <row r="96">
      <c r="A96" s="1" t="s">
        <v>77</v>
      </c>
      <c r="B96" s="1">
        <v>2015.0</v>
      </c>
      <c r="C96" s="1">
        <v>4856.092773</v>
      </c>
      <c r="D96" s="1">
        <v>65.54299927</v>
      </c>
      <c r="E96" s="1">
        <v>71.14958177</v>
      </c>
      <c r="F96" s="1">
        <v>10.51052605</v>
      </c>
      <c r="G96" s="1">
        <v>11.66204631</v>
      </c>
      <c r="H96" s="1">
        <v>6.677845876</v>
      </c>
      <c r="I96" s="1">
        <v>41.39183594</v>
      </c>
      <c r="J96" s="1">
        <v>10.73957265</v>
      </c>
      <c r="K96" s="1">
        <v>28.50184871</v>
      </c>
      <c r="L96" s="1">
        <v>19.36674269</v>
      </c>
      <c r="M96" s="1">
        <v>86.79370516</v>
      </c>
      <c r="N96" s="1">
        <v>10.390113</v>
      </c>
      <c r="O96" s="1">
        <v>2.809090742</v>
      </c>
      <c r="P96" s="1">
        <v>0.00709109589</v>
      </c>
      <c r="Q96" s="2">
        <f t="shared" si="1"/>
        <v>5</v>
      </c>
      <c r="R96" s="2">
        <f t="shared" si="2"/>
        <v>0.526985962</v>
      </c>
      <c r="S96" s="2">
        <f t="shared" si="3"/>
        <v>0.866515448</v>
      </c>
      <c r="T96" s="2">
        <f t="shared" si="4"/>
        <v>0.0599182</v>
      </c>
      <c r="U96" s="2">
        <f t="shared" si="5"/>
        <v>71</v>
      </c>
      <c r="V96" s="2">
        <f t="shared" si="6"/>
        <v>41</v>
      </c>
      <c r="W96" s="2">
        <f t="shared" si="7"/>
        <v>87</v>
      </c>
      <c r="X96" s="2" t="str">
        <f t="shared" si="8"/>
        <v/>
      </c>
      <c r="Y96" s="2" t="str">
        <f t="shared" si="9"/>
        <v/>
      </c>
      <c r="Z96" s="2" t="str">
        <f t="shared" si="10"/>
        <v/>
      </c>
      <c r="AA96" s="2">
        <f t="shared" si="11"/>
        <v>0.806597248</v>
      </c>
      <c r="AB96" s="2">
        <f t="shared" si="12"/>
        <v>0.806597248</v>
      </c>
      <c r="AC96" s="2" t="str">
        <f>VLOOKUP(A96,Regions!$A$2:$B$233,2)</f>
        <v>Sub-Saharan Africa</v>
      </c>
    </row>
    <row r="97">
      <c r="A97" s="1" t="s">
        <v>77</v>
      </c>
      <c r="B97" s="1">
        <v>2020.0</v>
      </c>
      <c r="C97" s="1">
        <v>5518.091797</v>
      </c>
      <c r="D97" s="1">
        <v>67.82900238</v>
      </c>
      <c r="E97" s="1">
        <v>73.78451158</v>
      </c>
      <c r="F97" s="1">
        <v>10.46117203</v>
      </c>
      <c r="G97" s="1">
        <v>9.559180722</v>
      </c>
      <c r="H97" s="1">
        <v>6.195135664</v>
      </c>
      <c r="I97" s="1">
        <v>45.72441318</v>
      </c>
      <c r="J97" s="1">
        <v>10.6323901</v>
      </c>
      <c r="K97" s="1">
        <v>24.40516973</v>
      </c>
      <c r="L97" s="1">
        <v>19.23802699</v>
      </c>
      <c r="M97" s="1">
        <v>87.09329616</v>
      </c>
      <c r="N97" s="1">
        <v>10.37996439</v>
      </c>
      <c r="O97" s="1">
        <v>2.517789997</v>
      </c>
      <c r="P97" s="1">
        <v>0.008949452055</v>
      </c>
      <c r="Q97" s="2" t="str">
        <f t="shared" si="1"/>
        <v/>
      </c>
      <c r="R97" s="2" t="str">
        <f t="shared" si="2"/>
        <v/>
      </c>
      <c r="S97" s="2" t="str">
        <f t="shared" si="3"/>
        <v/>
      </c>
      <c r="T97" s="2" t="str">
        <f t="shared" si="4"/>
        <v/>
      </c>
      <c r="U97" s="2">
        <f t="shared" si="5"/>
        <v>74</v>
      </c>
      <c r="V97" s="2">
        <f t="shared" si="6"/>
        <v>46</v>
      </c>
      <c r="W97" s="2">
        <f t="shared" si="7"/>
        <v>87</v>
      </c>
      <c r="X97" s="2" t="str">
        <f t="shared" si="8"/>
        <v/>
      </c>
      <c r="Y97" s="2" t="str">
        <f t="shared" si="9"/>
        <v/>
      </c>
      <c r="Z97" s="2" t="str">
        <f t="shared" si="10"/>
        <v/>
      </c>
      <c r="AA97" s="2">
        <f t="shared" si="11"/>
        <v>0</v>
      </c>
      <c r="AB97" s="2">
        <f t="shared" si="12"/>
        <v>0</v>
      </c>
      <c r="AC97" s="2" t="str">
        <f>VLOOKUP(A97,Regions!$A$2:$B$233,2)</f>
        <v>Sub-Saharan Africa</v>
      </c>
    </row>
    <row r="98">
      <c r="A98" s="1" t="s">
        <v>78</v>
      </c>
      <c r="B98" s="1">
        <v>2015.0</v>
      </c>
      <c r="C98" s="1">
        <v>17.58099937</v>
      </c>
      <c r="D98" s="1">
        <v>74.40399933</v>
      </c>
      <c r="E98" s="1">
        <v>99.95367102</v>
      </c>
      <c r="F98" s="1">
        <v>0.0</v>
      </c>
      <c r="G98" s="1">
        <v>0.04632897629</v>
      </c>
      <c r="H98" s="1">
        <v>0.0</v>
      </c>
      <c r="I98" s="1" t="s">
        <v>33</v>
      </c>
      <c r="J98" s="1" t="s">
        <v>33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33</v>
      </c>
      <c r="Q98" s="2">
        <f t="shared" si="1"/>
        <v>5</v>
      </c>
      <c r="R98" s="2">
        <f t="shared" si="2"/>
        <v>0.00358784</v>
      </c>
      <c r="S98" s="2" t="str">
        <f t="shared" si="3"/>
        <v>null</v>
      </c>
      <c r="T98" s="2" t="str">
        <f t="shared" si="4"/>
        <v>null</v>
      </c>
      <c r="U98" s="2">
        <f t="shared" si="5"/>
        <v>100</v>
      </c>
      <c r="V98" s="2" t="str">
        <f t="shared" si="6"/>
        <v>null</v>
      </c>
      <c r="W98" s="2" t="str">
        <f t="shared" si="7"/>
        <v>null</v>
      </c>
      <c r="X98" s="2" t="str">
        <f t="shared" si="8"/>
        <v>full access</v>
      </c>
      <c r="Y98" s="2" t="str">
        <f t="shared" si="9"/>
        <v/>
      </c>
      <c r="Z98" s="2" t="str">
        <f t="shared" si="10"/>
        <v/>
      </c>
      <c r="AA98" s="2" t="str">
        <f t="shared" si="11"/>
        <v>null</v>
      </c>
      <c r="AB98" s="2" t="str">
        <f t="shared" si="12"/>
        <v>null</v>
      </c>
      <c r="AC98" s="2" t="str">
        <f>VLOOKUP(A98,Regions!$A$2:$B$233,2)</f>
        <v>East Asia &amp; Pacific</v>
      </c>
    </row>
    <row r="99">
      <c r="A99" s="1" t="s">
        <v>78</v>
      </c>
      <c r="B99" s="1">
        <v>2020.0</v>
      </c>
      <c r="C99" s="1">
        <v>17.56399918</v>
      </c>
      <c r="D99" s="1">
        <v>75.49500275</v>
      </c>
      <c r="E99" s="1">
        <v>99.97161022</v>
      </c>
      <c r="F99" s="1">
        <v>0.0</v>
      </c>
      <c r="G99" s="1">
        <v>0.0283897827</v>
      </c>
      <c r="H99" s="1">
        <v>0.0</v>
      </c>
      <c r="I99" s="1" t="s">
        <v>33</v>
      </c>
      <c r="J99" s="1" t="s">
        <v>33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2" t="str">
        <f t="shared" si="1"/>
        <v/>
      </c>
      <c r="R99" s="2" t="str">
        <f t="shared" si="2"/>
        <v/>
      </c>
      <c r="S99" s="2" t="str">
        <f t="shared" si="3"/>
        <v/>
      </c>
      <c r="T99" s="2" t="str">
        <f t="shared" si="4"/>
        <v/>
      </c>
      <c r="U99" s="2">
        <f t="shared" si="5"/>
        <v>100</v>
      </c>
      <c r="V99" s="2" t="str">
        <f t="shared" si="6"/>
        <v>null</v>
      </c>
      <c r="W99" s="2" t="str">
        <f t="shared" si="7"/>
        <v>null</v>
      </c>
      <c r="X99" s="2" t="str">
        <f t="shared" si="8"/>
        <v/>
      </c>
      <c r="Y99" s="2" t="str">
        <f t="shared" si="9"/>
        <v/>
      </c>
      <c r="Z99" s="2" t="str">
        <f t="shared" si="10"/>
        <v/>
      </c>
      <c r="AA99" s="2">
        <f t="shared" si="11"/>
        <v>0</v>
      </c>
      <c r="AB99" s="2">
        <f t="shared" si="12"/>
        <v>0</v>
      </c>
      <c r="AC99" s="2" t="str">
        <f>VLOOKUP(A99,Regions!$A$2:$B$233,2)</f>
        <v>East Asia &amp; Pacific</v>
      </c>
    </row>
    <row r="100">
      <c r="A100" s="1" t="s">
        <v>79</v>
      </c>
      <c r="B100" s="1">
        <v>2015.0</v>
      </c>
      <c r="C100" s="1">
        <v>4847.805176</v>
      </c>
      <c r="D100" s="1">
        <v>76.86199951</v>
      </c>
      <c r="E100" s="1">
        <v>99.37868682</v>
      </c>
      <c r="F100" s="1">
        <v>0.2541303784</v>
      </c>
      <c r="G100" s="1">
        <v>0.2113350186</v>
      </c>
      <c r="H100" s="1">
        <v>0.1558477843</v>
      </c>
      <c r="I100" s="1">
        <v>98.18603249</v>
      </c>
      <c r="J100" s="1">
        <v>0.4100611535</v>
      </c>
      <c r="K100" s="1">
        <v>0.7303485768</v>
      </c>
      <c r="L100" s="1">
        <v>0.6735577778</v>
      </c>
      <c r="M100" s="1">
        <v>99.73771511</v>
      </c>
      <c r="N100" s="1">
        <v>0.2071900718</v>
      </c>
      <c r="O100" s="1">
        <v>0.0550948183</v>
      </c>
      <c r="P100" s="1">
        <v>0.0</v>
      </c>
      <c r="Q100" s="2">
        <f t="shared" si="1"/>
        <v>5</v>
      </c>
      <c r="R100" s="2">
        <f t="shared" si="2"/>
        <v>0.086370022</v>
      </c>
      <c r="S100" s="2">
        <f t="shared" si="3"/>
        <v>0.292043502</v>
      </c>
      <c r="T100" s="2">
        <f t="shared" si="4"/>
        <v>0.02238755</v>
      </c>
      <c r="U100" s="2">
        <f t="shared" si="5"/>
        <v>99</v>
      </c>
      <c r="V100" s="2">
        <f t="shared" si="6"/>
        <v>98</v>
      </c>
      <c r="W100" s="2">
        <f t="shared" si="7"/>
        <v>100</v>
      </c>
      <c r="X100" s="2" t="str">
        <f t="shared" si="8"/>
        <v/>
      </c>
      <c r="Y100" s="2" t="str">
        <f t="shared" si="9"/>
        <v/>
      </c>
      <c r="Z100" s="2" t="str">
        <f t="shared" si="10"/>
        <v>full access</v>
      </c>
      <c r="AA100" s="2">
        <f t="shared" si="11"/>
        <v>0.269655952</v>
      </c>
      <c r="AB100" s="2">
        <f t="shared" si="12"/>
        <v>0.269655952</v>
      </c>
      <c r="AC100" s="2" t="str">
        <f>VLOOKUP(A100,Regions!$A$2:$B$233,2)</f>
        <v>Latin America &amp; Caribbean</v>
      </c>
    </row>
    <row r="101">
      <c r="A101" s="1" t="s">
        <v>79</v>
      </c>
      <c r="B101" s="1">
        <v>2020.0</v>
      </c>
      <c r="C101" s="1">
        <v>5094.11377</v>
      </c>
      <c r="D101" s="1">
        <v>80.77099609</v>
      </c>
      <c r="E101" s="1">
        <v>99.81053693</v>
      </c>
      <c r="F101" s="1">
        <v>0.1894594746</v>
      </c>
      <c r="G101" s="1">
        <v>3.594451897E-6</v>
      </c>
      <c r="H101" s="1">
        <v>0.0</v>
      </c>
      <c r="I101" s="1">
        <v>99.64625</v>
      </c>
      <c r="J101" s="1">
        <v>0.35375</v>
      </c>
      <c r="K101" s="1">
        <v>0.0</v>
      </c>
      <c r="L101" s="1">
        <v>0.0</v>
      </c>
      <c r="M101" s="1">
        <v>99.84965286</v>
      </c>
      <c r="N101" s="1">
        <v>0.1503471429</v>
      </c>
      <c r="O101" s="1">
        <v>0.0</v>
      </c>
      <c r="P101" s="1">
        <v>0.0</v>
      </c>
      <c r="Q101" s="2" t="str">
        <f t="shared" si="1"/>
        <v/>
      </c>
      <c r="R101" s="2" t="str">
        <f t="shared" si="2"/>
        <v/>
      </c>
      <c r="S101" s="2" t="str">
        <f t="shared" si="3"/>
        <v/>
      </c>
      <c r="T101" s="2" t="str">
        <f t="shared" si="4"/>
        <v/>
      </c>
      <c r="U101" s="2">
        <f t="shared" si="5"/>
        <v>100</v>
      </c>
      <c r="V101" s="2">
        <f t="shared" si="6"/>
        <v>100</v>
      </c>
      <c r="W101" s="2">
        <f t="shared" si="7"/>
        <v>100</v>
      </c>
      <c r="X101" s="2" t="str">
        <f t="shared" si="8"/>
        <v/>
      </c>
      <c r="Y101" s="2" t="str">
        <f t="shared" si="9"/>
        <v/>
      </c>
      <c r="Z101" s="2" t="str">
        <f t="shared" si="10"/>
        <v/>
      </c>
      <c r="AA101" s="2">
        <f t="shared" si="11"/>
        <v>0</v>
      </c>
      <c r="AB101" s="2">
        <f t="shared" si="12"/>
        <v>0</v>
      </c>
      <c r="AC101" s="2" t="str">
        <f>VLOOKUP(A101,Regions!$A$2:$B$233,2)</f>
        <v>Latin America &amp; Caribbean</v>
      </c>
    </row>
    <row r="102">
      <c r="A102" s="1" t="s">
        <v>80</v>
      </c>
      <c r="B102" s="1">
        <v>2015.0</v>
      </c>
      <c r="C102" s="1">
        <v>23226.14844</v>
      </c>
      <c r="D102" s="1">
        <v>49.44400024</v>
      </c>
      <c r="E102" s="1">
        <v>71.0757669</v>
      </c>
      <c r="F102" s="1">
        <v>8.767136459</v>
      </c>
      <c r="G102" s="1">
        <v>14.41768054</v>
      </c>
      <c r="H102" s="1">
        <v>5.739416095</v>
      </c>
      <c r="I102" s="1">
        <v>55.84317172</v>
      </c>
      <c r="J102" s="1">
        <v>13.1884673</v>
      </c>
      <c r="K102" s="1">
        <v>22.63128471</v>
      </c>
      <c r="L102" s="1">
        <v>8.337076273</v>
      </c>
      <c r="M102" s="1">
        <v>86.65094535</v>
      </c>
      <c r="N102" s="1">
        <v>4.246369254</v>
      </c>
      <c r="O102" s="1">
        <v>6.019351236</v>
      </c>
      <c r="P102" s="1">
        <v>3.083334164</v>
      </c>
      <c r="Q102" s="2">
        <f t="shared" si="1"/>
        <v>5</v>
      </c>
      <c r="R102" s="2">
        <f t="shared" si="2"/>
        <v>-0.033339302</v>
      </c>
      <c r="S102" s="2">
        <f t="shared" si="3"/>
        <v>-0.024144972</v>
      </c>
      <c r="T102" s="2">
        <f t="shared" si="4"/>
        <v>-0.311478412</v>
      </c>
      <c r="U102" s="2">
        <f t="shared" si="5"/>
        <v>71</v>
      </c>
      <c r="V102" s="2">
        <f t="shared" si="6"/>
        <v>56</v>
      </c>
      <c r="W102" s="2">
        <f t="shared" si="7"/>
        <v>87</v>
      </c>
      <c r="X102" s="2" t="str">
        <f t="shared" si="8"/>
        <v/>
      </c>
      <c r="Y102" s="2" t="str">
        <f t="shared" si="9"/>
        <v/>
      </c>
      <c r="Z102" s="2" t="str">
        <f t="shared" si="10"/>
        <v/>
      </c>
      <c r="AA102" s="2">
        <f t="shared" si="11"/>
        <v>0.28733344</v>
      </c>
      <c r="AB102" s="2">
        <f t="shared" si="12"/>
        <v>0.28733344</v>
      </c>
      <c r="AC102" s="2" t="str">
        <f>VLOOKUP(A102,Regions!$A$2:$B$233,2)</f>
        <v>Sub-Saharan Africa</v>
      </c>
    </row>
    <row r="103">
      <c r="A103" s="1" t="s">
        <v>80</v>
      </c>
      <c r="B103" s="1">
        <v>2020.0</v>
      </c>
      <c r="C103" s="1">
        <v>26378.27539</v>
      </c>
      <c r="D103" s="1">
        <v>51.70599747</v>
      </c>
      <c r="E103" s="1">
        <v>70.90907039</v>
      </c>
      <c r="F103" s="1">
        <v>8.935421702</v>
      </c>
      <c r="G103" s="1">
        <v>14.19244161</v>
      </c>
      <c r="H103" s="1">
        <v>5.963066293</v>
      </c>
      <c r="I103" s="1">
        <v>55.72244686</v>
      </c>
      <c r="J103" s="1">
        <v>13.34316829</v>
      </c>
      <c r="K103" s="1">
        <v>23.17527956</v>
      </c>
      <c r="L103" s="1">
        <v>7.759105289</v>
      </c>
      <c r="M103" s="1">
        <v>85.09355329</v>
      </c>
      <c r="N103" s="1">
        <v>4.818535156</v>
      </c>
      <c r="O103" s="1">
        <v>5.80236656</v>
      </c>
      <c r="P103" s="1">
        <v>4.285544994</v>
      </c>
      <c r="Q103" s="2" t="str">
        <f t="shared" si="1"/>
        <v/>
      </c>
      <c r="R103" s="2" t="str">
        <f t="shared" si="2"/>
        <v/>
      </c>
      <c r="S103" s="2" t="str">
        <f t="shared" si="3"/>
        <v/>
      </c>
      <c r="T103" s="2" t="str">
        <f t="shared" si="4"/>
        <v/>
      </c>
      <c r="U103" s="2">
        <f t="shared" si="5"/>
        <v>71</v>
      </c>
      <c r="V103" s="2">
        <f t="shared" si="6"/>
        <v>56</v>
      </c>
      <c r="W103" s="2">
        <f t="shared" si="7"/>
        <v>85</v>
      </c>
      <c r="X103" s="2" t="str">
        <f t="shared" si="8"/>
        <v/>
      </c>
      <c r="Y103" s="2" t="str">
        <f t="shared" si="9"/>
        <v/>
      </c>
      <c r="Z103" s="2" t="str">
        <f t="shared" si="10"/>
        <v/>
      </c>
      <c r="AA103" s="2">
        <f t="shared" si="11"/>
        <v>0</v>
      </c>
      <c r="AB103" s="2">
        <f t="shared" si="12"/>
        <v>0</v>
      </c>
      <c r="AC103" s="2" t="str">
        <f>VLOOKUP(A103,Regions!$A$2:$B$233,2)</f>
        <v>Sub-Saharan Africa</v>
      </c>
    </row>
    <row r="104">
      <c r="A104" s="1" t="s">
        <v>81</v>
      </c>
      <c r="B104" s="1">
        <v>2015.0</v>
      </c>
      <c r="C104" s="1">
        <v>4232.874023</v>
      </c>
      <c r="D104" s="1">
        <v>56.15500259</v>
      </c>
      <c r="E104" s="1" t="s">
        <v>33</v>
      </c>
      <c r="F104" s="1" t="s">
        <v>33</v>
      </c>
      <c r="G104" s="1" t="s">
        <v>33</v>
      </c>
      <c r="H104" s="1" t="s">
        <v>33</v>
      </c>
      <c r="I104" s="1" t="s">
        <v>33</v>
      </c>
      <c r="J104" s="1" t="s">
        <v>33</v>
      </c>
      <c r="K104" s="1" t="s">
        <v>33</v>
      </c>
      <c r="L104" s="1" t="s">
        <v>33</v>
      </c>
      <c r="M104" s="1">
        <v>100.0</v>
      </c>
      <c r="N104" s="1">
        <v>0.0</v>
      </c>
      <c r="O104" s="1">
        <v>0.0</v>
      </c>
      <c r="P104" s="1">
        <v>0.0</v>
      </c>
      <c r="Q104" s="2">
        <f t="shared" si="1"/>
        <v>5</v>
      </c>
      <c r="R104" s="2" t="str">
        <f t="shared" si="2"/>
        <v>null</v>
      </c>
      <c r="S104" s="2" t="str">
        <f t="shared" si="3"/>
        <v>null</v>
      </c>
      <c r="T104" s="2">
        <f t="shared" si="4"/>
        <v>0</v>
      </c>
      <c r="U104" s="2" t="str">
        <f t="shared" si="5"/>
        <v>null</v>
      </c>
      <c r="V104" s="2" t="str">
        <f t="shared" si="6"/>
        <v>null</v>
      </c>
      <c r="W104" s="2">
        <f t="shared" si="7"/>
        <v>100</v>
      </c>
      <c r="X104" s="2" t="str">
        <f t="shared" si="8"/>
        <v/>
      </c>
      <c r="Y104" s="2" t="str">
        <f t="shared" si="9"/>
        <v/>
      </c>
      <c r="Z104" s="2" t="str">
        <f t="shared" si="10"/>
        <v>full access</v>
      </c>
      <c r="AA104" s="2" t="str">
        <f t="shared" si="11"/>
        <v>null</v>
      </c>
      <c r="AB104" s="2" t="str">
        <f t="shared" si="12"/>
        <v>null</v>
      </c>
      <c r="AC104" s="2" t="str">
        <f>VLOOKUP(A104,Regions!$A$2:$B$233,2)</f>
        <v>Europe &amp; Central Asia</v>
      </c>
    </row>
    <row r="105">
      <c r="A105" s="1" t="s">
        <v>81</v>
      </c>
      <c r="B105" s="1">
        <v>2020.0</v>
      </c>
      <c r="C105" s="1">
        <v>4105.268066</v>
      </c>
      <c r="D105" s="1">
        <v>57.55299759</v>
      </c>
      <c r="E105" s="1" t="s">
        <v>33</v>
      </c>
      <c r="F105" s="1" t="s">
        <v>33</v>
      </c>
      <c r="G105" s="1" t="s">
        <v>33</v>
      </c>
      <c r="H105" s="1" t="s">
        <v>33</v>
      </c>
      <c r="I105" s="1" t="s">
        <v>33</v>
      </c>
      <c r="J105" s="1" t="s">
        <v>33</v>
      </c>
      <c r="K105" s="1" t="s">
        <v>33</v>
      </c>
      <c r="L105" s="1" t="s">
        <v>33</v>
      </c>
      <c r="M105" s="1">
        <v>100.0</v>
      </c>
      <c r="N105" s="1">
        <v>0.0</v>
      </c>
      <c r="O105" s="1">
        <v>0.0</v>
      </c>
      <c r="P105" s="1">
        <v>0.0</v>
      </c>
      <c r="Q105" s="2" t="str">
        <f t="shared" si="1"/>
        <v/>
      </c>
      <c r="R105" s="2" t="str">
        <f t="shared" si="2"/>
        <v/>
      </c>
      <c r="S105" s="2" t="str">
        <f t="shared" si="3"/>
        <v/>
      </c>
      <c r="T105" s="2" t="str">
        <f t="shared" si="4"/>
        <v/>
      </c>
      <c r="U105" s="2" t="str">
        <f t="shared" si="5"/>
        <v>null</v>
      </c>
      <c r="V105" s="2" t="str">
        <f t="shared" si="6"/>
        <v>null</v>
      </c>
      <c r="W105" s="2">
        <f t="shared" si="7"/>
        <v>100</v>
      </c>
      <c r="X105" s="2" t="str">
        <f t="shared" si="8"/>
        <v/>
      </c>
      <c r="Y105" s="2" t="str">
        <f t="shared" si="9"/>
        <v/>
      </c>
      <c r="Z105" s="2" t="str">
        <f t="shared" si="10"/>
        <v/>
      </c>
      <c r="AA105" s="2">
        <f t="shared" si="11"/>
        <v>0</v>
      </c>
      <c r="AB105" s="2">
        <f t="shared" si="12"/>
        <v>0</v>
      </c>
      <c r="AC105" s="2" t="str">
        <f>VLOOKUP(A105,Regions!$A$2:$B$233,2)</f>
        <v>Europe &amp; Central Asia</v>
      </c>
    </row>
    <row r="106">
      <c r="A106" s="1" t="s">
        <v>82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2">
        <f t="shared" si="1"/>
        <v>5</v>
      </c>
      <c r="R106" s="2">
        <f t="shared" si="2"/>
        <v>0.226179938</v>
      </c>
      <c r="S106" s="2">
        <f t="shared" si="3"/>
        <v>0.788318096</v>
      </c>
      <c r="T106" s="2">
        <f t="shared" si="4"/>
        <v>0.054655054</v>
      </c>
      <c r="U106" s="2">
        <f t="shared" si="5"/>
        <v>96</v>
      </c>
      <c r="V106" s="2">
        <f t="shared" si="6"/>
        <v>90</v>
      </c>
      <c r="W106" s="2">
        <f t="shared" si="7"/>
        <v>98</v>
      </c>
      <c r="X106" s="2" t="str">
        <f t="shared" si="8"/>
        <v/>
      </c>
      <c r="Y106" s="2" t="str">
        <f t="shared" si="9"/>
        <v/>
      </c>
      <c r="Z106" s="2" t="str">
        <f t="shared" si="10"/>
        <v/>
      </c>
      <c r="AA106" s="2">
        <f t="shared" si="11"/>
        <v>0.733663042</v>
      </c>
      <c r="AB106" s="2">
        <f t="shared" si="12"/>
        <v>0.733663042</v>
      </c>
      <c r="AC106" s="2" t="str">
        <f>VLOOKUP(A106,Regions!$A$2:$B$233,2)</f>
        <v>Latin America &amp; Caribbean</v>
      </c>
    </row>
    <row r="107">
      <c r="A107" s="1" t="s">
        <v>82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Q107" s="2" t="str">
        <f t="shared" si="1"/>
        <v/>
      </c>
      <c r="R107" s="2" t="str">
        <f t="shared" si="2"/>
        <v/>
      </c>
      <c r="S107" s="2" t="str">
        <f t="shared" si="3"/>
        <v/>
      </c>
      <c r="T107" s="2" t="str">
        <f t="shared" si="4"/>
        <v/>
      </c>
      <c r="U107" s="2">
        <f t="shared" si="5"/>
        <v>97</v>
      </c>
      <c r="V107" s="2">
        <f t="shared" si="6"/>
        <v>94</v>
      </c>
      <c r="W107" s="2">
        <f t="shared" si="7"/>
        <v>98</v>
      </c>
      <c r="X107" s="2" t="str">
        <f t="shared" si="8"/>
        <v/>
      </c>
      <c r="Y107" s="2" t="str">
        <f t="shared" si="9"/>
        <v/>
      </c>
      <c r="Z107" s="2" t="str">
        <f t="shared" si="10"/>
        <v/>
      </c>
      <c r="AA107" s="2">
        <f t="shared" si="11"/>
        <v>0</v>
      </c>
      <c r="AB107" s="2">
        <f t="shared" si="12"/>
        <v>0</v>
      </c>
      <c r="AC107" s="2" t="str">
        <f>VLOOKUP(A107,Regions!$A$2:$B$233,2)</f>
        <v>Latin America &amp; Caribbean</v>
      </c>
    </row>
    <row r="108">
      <c r="A108" s="1" t="s">
        <v>83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33</v>
      </c>
      <c r="J108" s="1" t="s">
        <v>33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  <c r="Q108" s="2">
        <f t="shared" si="1"/>
        <v>2</v>
      </c>
      <c r="R108" s="2">
        <f t="shared" si="2"/>
        <v>0</v>
      </c>
      <c r="S108" s="2" t="str">
        <f t="shared" si="3"/>
        <v>null</v>
      </c>
      <c r="T108" s="2" t="str">
        <f t="shared" si="4"/>
        <v>null</v>
      </c>
      <c r="U108" s="2">
        <f t="shared" si="5"/>
        <v>99</v>
      </c>
      <c r="V108" s="2" t="str">
        <f t="shared" si="6"/>
        <v>null</v>
      </c>
      <c r="W108" s="2" t="str">
        <f t="shared" si="7"/>
        <v>null</v>
      </c>
      <c r="X108" s="2" t="str">
        <f t="shared" si="8"/>
        <v/>
      </c>
      <c r="Y108" s="2" t="str">
        <f t="shared" si="9"/>
        <v/>
      </c>
      <c r="Z108" s="2" t="str">
        <f t="shared" si="10"/>
        <v/>
      </c>
      <c r="AA108" s="2" t="str">
        <f t="shared" si="11"/>
        <v>null</v>
      </c>
      <c r="AB108" s="2" t="str">
        <f t="shared" si="12"/>
        <v>null</v>
      </c>
      <c r="AC108" s="2" t="str">
        <f>VLOOKUP(A108,Regions!$A$2:$B$233,2)</f>
        <v>Latin America &amp; Caribbean</v>
      </c>
    </row>
    <row r="109">
      <c r="A109" s="1" t="s">
        <v>83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33</v>
      </c>
      <c r="J109" s="1" t="s">
        <v>33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33</v>
      </c>
      <c r="Q109" s="2" t="str">
        <f t="shared" si="1"/>
        <v/>
      </c>
      <c r="R109" s="2" t="str">
        <f t="shared" si="2"/>
        <v/>
      </c>
      <c r="S109" s="2" t="str">
        <f t="shared" si="3"/>
        <v/>
      </c>
      <c r="T109" s="2" t="str">
        <f t="shared" si="4"/>
        <v/>
      </c>
      <c r="U109" s="2">
        <f t="shared" si="5"/>
        <v>99</v>
      </c>
      <c r="V109" s="2" t="str">
        <f t="shared" si="6"/>
        <v>null</v>
      </c>
      <c r="W109" s="2" t="str">
        <f t="shared" si="7"/>
        <v>null</v>
      </c>
      <c r="X109" s="2" t="str">
        <f t="shared" si="8"/>
        <v/>
      </c>
      <c r="Y109" s="2" t="str">
        <f t="shared" si="9"/>
        <v/>
      </c>
      <c r="Z109" s="2" t="str">
        <f t="shared" si="10"/>
        <v/>
      </c>
      <c r="AA109" s="2">
        <f t="shared" si="11"/>
        <v>0</v>
      </c>
      <c r="AB109" s="2">
        <f t="shared" si="12"/>
        <v>0</v>
      </c>
      <c r="AC109" s="2" t="str">
        <f>VLOOKUP(A109,Regions!$A$2:$B$233,2)</f>
        <v>Latin America &amp; Caribbean</v>
      </c>
    </row>
    <row r="110">
      <c r="A110" s="1" t="s">
        <v>84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2">
        <f t="shared" si="1"/>
        <v>5</v>
      </c>
      <c r="R110" s="2">
        <f t="shared" si="2"/>
        <v>-0.004668878</v>
      </c>
      <c r="S110" s="2">
        <f t="shared" si="3"/>
        <v>-0.003084764</v>
      </c>
      <c r="T110" s="2">
        <f t="shared" si="4"/>
        <v>-0.005496838</v>
      </c>
      <c r="U110" s="2">
        <f t="shared" si="5"/>
        <v>100</v>
      </c>
      <c r="V110" s="2">
        <f t="shared" si="6"/>
        <v>100</v>
      </c>
      <c r="W110" s="2">
        <f t="shared" si="7"/>
        <v>100</v>
      </c>
      <c r="X110" s="2" t="str">
        <f t="shared" si="8"/>
        <v>full access</v>
      </c>
      <c r="Y110" s="2" t="str">
        <f t="shared" si="9"/>
        <v>full access</v>
      </c>
      <c r="Z110" s="2" t="str">
        <f t="shared" si="10"/>
        <v>full access</v>
      </c>
      <c r="AA110" s="2">
        <f t="shared" si="11"/>
        <v>0.002412074</v>
      </c>
      <c r="AB110" s="2">
        <f t="shared" si="12"/>
        <v>0.002412074</v>
      </c>
      <c r="AC110" s="2" t="str">
        <f>VLOOKUP(A110,Regions!$A$2:$B$233,2)</f>
        <v>Europe &amp; Central Asia</v>
      </c>
    </row>
    <row r="111">
      <c r="A111" s="1" t="s">
        <v>84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Q111" s="2" t="str">
        <f t="shared" si="1"/>
        <v/>
      </c>
      <c r="R111" s="2" t="str">
        <f t="shared" si="2"/>
        <v/>
      </c>
      <c r="S111" s="2" t="str">
        <f t="shared" si="3"/>
        <v/>
      </c>
      <c r="T111" s="2" t="str">
        <f t="shared" si="4"/>
        <v/>
      </c>
      <c r="U111" s="2">
        <f t="shared" si="5"/>
        <v>100</v>
      </c>
      <c r="V111" s="2">
        <f t="shared" si="6"/>
        <v>100</v>
      </c>
      <c r="W111" s="2">
        <f t="shared" si="7"/>
        <v>100</v>
      </c>
      <c r="X111" s="2" t="str">
        <f t="shared" si="8"/>
        <v/>
      </c>
      <c r="Y111" s="2" t="str">
        <f t="shared" si="9"/>
        <v/>
      </c>
      <c r="Z111" s="2" t="str">
        <f t="shared" si="10"/>
        <v/>
      </c>
      <c r="AA111" s="2">
        <f t="shared" si="11"/>
        <v>0</v>
      </c>
      <c r="AB111" s="2">
        <f t="shared" si="12"/>
        <v>0</v>
      </c>
      <c r="AC111" s="2" t="str">
        <f>VLOOKUP(A111,Regions!$A$2:$B$233,2)</f>
        <v>Europe &amp; Central Asia</v>
      </c>
    </row>
    <row r="112">
      <c r="A112" s="1" t="s">
        <v>85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2">
        <f t="shared" si="1"/>
        <v>5</v>
      </c>
      <c r="R112" s="2">
        <f t="shared" si="2"/>
        <v>0.000099796</v>
      </c>
      <c r="S112" s="2">
        <f t="shared" si="3"/>
        <v>0</v>
      </c>
      <c r="T112" s="2">
        <f t="shared" si="4"/>
        <v>0</v>
      </c>
      <c r="U112" s="2">
        <f t="shared" si="5"/>
        <v>100</v>
      </c>
      <c r="V112" s="2">
        <f t="shared" si="6"/>
        <v>100</v>
      </c>
      <c r="W112" s="2">
        <f t="shared" si="7"/>
        <v>100</v>
      </c>
      <c r="X112" s="2" t="str">
        <f t="shared" si="8"/>
        <v>full access</v>
      </c>
      <c r="Y112" s="2" t="str">
        <f t="shared" si="9"/>
        <v>full access</v>
      </c>
      <c r="Z112" s="2" t="str">
        <f t="shared" si="10"/>
        <v>full access</v>
      </c>
      <c r="AA112" s="2">
        <f t="shared" si="11"/>
        <v>0</v>
      </c>
      <c r="AB112" s="2">
        <f t="shared" si="12"/>
        <v>0</v>
      </c>
      <c r="AC112" s="2" t="str">
        <f>VLOOKUP(A112,Regions!$A$2:$B$233,2)</f>
        <v>Europe &amp; Central Asia</v>
      </c>
    </row>
    <row r="113">
      <c r="A113" s="1" t="s">
        <v>85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Q113" s="2" t="str">
        <f t="shared" si="1"/>
        <v/>
      </c>
      <c r="R113" s="2" t="str">
        <f t="shared" si="2"/>
        <v/>
      </c>
      <c r="S113" s="2" t="str">
        <f t="shared" si="3"/>
        <v/>
      </c>
      <c r="T113" s="2" t="str">
        <f t="shared" si="4"/>
        <v/>
      </c>
      <c r="U113" s="2">
        <f t="shared" si="5"/>
        <v>100</v>
      </c>
      <c r="V113" s="2">
        <f t="shared" si="6"/>
        <v>100</v>
      </c>
      <c r="W113" s="2">
        <f t="shared" si="7"/>
        <v>100</v>
      </c>
      <c r="X113" s="2" t="str">
        <f t="shared" si="8"/>
        <v/>
      </c>
      <c r="Y113" s="2" t="str">
        <f t="shared" si="9"/>
        <v/>
      </c>
      <c r="Z113" s="2" t="str">
        <f t="shared" si="10"/>
        <v/>
      </c>
      <c r="AA113" s="2">
        <f t="shared" si="11"/>
        <v>0</v>
      </c>
      <c r="AB113" s="2">
        <f t="shared" si="12"/>
        <v>0</v>
      </c>
      <c r="AC113" s="2" t="str">
        <f>VLOOKUP(A113,Regions!$A$2:$B$233,2)</f>
        <v>Europe &amp; Central Asia</v>
      </c>
    </row>
    <row r="114">
      <c r="A114" s="1" t="s">
        <v>86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2">
        <f t="shared" si="1"/>
        <v>5</v>
      </c>
      <c r="R114" s="2">
        <f t="shared" si="2"/>
        <v>-0.274207736</v>
      </c>
      <c r="S114" s="2">
        <f t="shared" si="3"/>
        <v>-0.572668708</v>
      </c>
      <c r="T114" s="2">
        <f t="shared" si="4"/>
        <v>-0.115002716</v>
      </c>
      <c r="U114" s="2">
        <f t="shared" si="5"/>
        <v>95</v>
      </c>
      <c r="V114" s="2">
        <f t="shared" si="6"/>
        <v>92</v>
      </c>
      <c r="W114" s="2">
        <f t="shared" si="7"/>
        <v>97</v>
      </c>
      <c r="X114" s="2" t="str">
        <f t="shared" si="8"/>
        <v/>
      </c>
      <c r="Y114" s="2" t="str">
        <f t="shared" si="9"/>
        <v/>
      </c>
      <c r="Z114" s="2" t="str">
        <f t="shared" si="10"/>
        <v/>
      </c>
      <c r="AA114" s="2">
        <f t="shared" si="11"/>
        <v>-0.457665992</v>
      </c>
      <c r="AB114" s="2">
        <f t="shared" si="12"/>
        <v>0.457665992</v>
      </c>
      <c r="AC114" s="2" t="str">
        <f>VLOOKUP(A114,Regions!$A$2:$B$233,2)</f>
        <v>East Asia &amp; Pacific</v>
      </c>
    </row>
    <row r="115">
      <c r="A115" s="1" t="s">
        <v>86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Q115" s="2" t="str">
        <f t="shared" si="1"/>
        <v/>
      </c>
      <c r="R115" s="2" t="str">
        <f t="shared" si="2"/>
        <v/>
      </c>
      <c r="S115" s="2" t="str">
        <f t="shared" si="3"/>
        <v/>
      </c>
      <c r="T115" s="2" t="str">
        <f t="shared" si="4"/>
        <v/>
      </c>
      <c r="U115" s="2">
        <f t="shared" si="5"/>
        <v>94</v>
      </c>
      <c r="V115" s="2">
        <f t="shared" si="6"/>
        <v>89</v>
      </c>
      <c r="W115" s="2">
        <f t="shared" si="7"/>
        <v>97</v>
      </c>
      <c r="X115" s="2" t="str">
        <f t="shared" si="8"/>
        <v/>
      </c>
      <c r="Y115" s="2" t="str">
        <f t="shared" si="9"/>
        <v/>
      </c>
      <c r="Z115" s="2" t="str">
        <f t="shared" si="10"/>
        <v/>
      </c>
      <c r="AA115" s="2">
        <f t="shared" si="11"/>
        <v>0</v>
      </c>
      <c r="AB115" s="2">
        <f t="shared" si="12"/>
        <v>0</v>
      </c>
      <c r="AC115" s="2" t="str">
        <f>VLOOKUP(A115,Regions!$A$2:$B$233,2)</f>
        <v>East Asia &amp; Pacific</v>
      </c>
    </row>
    <row r="116">
      <c r="A116" s="1" t="s">
        <v>87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2">
        <f t="shared" si="1"/>
        <v>5</v>
      </c>
      <c r="R116" s="2">
        <f t="shared" si="2"/>
        <v>0.646789398</v>
      </c>
      <c r="S116" s="2">
        <f t="shared" si="3"/>
        <v>0.272055708</v>
      </c>
      <c r="T116" s="2">
        <f t="shared" si="4"/>
        <v>0.436595398</v>
      </c>
      <c r="U116" s="2">
        <f t="shared" si="5"/>
        <v>43</v>
      </c>
      <c r="V116" s="2">
        <f t="shared" si="6"/>
        <v>21</v>
      </c>
      <c r="W116" s="2">
        <f t="shared" si="7"/>
        <v>72</v>
      </c>
      <c r="X116" s="2" t="str">
        <f t="shared" si="8"/>
        <v/>
      </c>
      <c r="Y116" s="2" t="str">
        <f t="shared" si="9"/>
        <v/>
      </c>
      <c r="Z116" s="2" t="str">
        <f t="shared" si="10"/>
        <v/>
      </c>
      <c r="AA116" s="2">
        <f t="shared" si="11"/>
        <v>-0.16453969</v>
      </c>
      <c r="AB116" s="2">
        <f t="shared" si="12"/>
        <v>0.16453969</v>
      </c>
      <c r="AC116" s="2" t="str">
        <f>VLOOKUP(A116,Regions!$A$2:$B$233,2)</f>
        <v>Sub-Saharan Africa</v>
      </c>
    </row>
    <row r="117">
      <c r="A117" s="1" t="s">
        <v>87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Q117" s="2" t="str">
        <f t="shared" si="1"/>
        <v/>
      </c>
      <c r="R117" s="2" t="str">
        <f t="shared" si="2"/>
        <v/>
      </c>
      <c r="S117" s="2" t="str">
        <f t="shared" si="3"/>
        <v/>
      </c>
      <c r="T117" s="2" t="str">
        <f t="shared" si="4"/>
        <v/>
      </c>
      <c r="U117" s="2">
        <f t="shared" si="5"/>
        <v>46</v>
      </c>
      <c r="V117" s="2">
        <f t="shared" si="6"/>
        <v>22</v>
      </c>
      <c r="W117" s="2">
        <f t="shared" si="7"/>
        <v>75</v>
      </c>
      <c r="X117" s="2" t="str">
        <f t="shared" si="8"/>
        <v/>
      </c>
      <c r="Y117" s="2" t="str">
        <f t="shared" si="9"/>
        <v/>
      </c>
      <c r="Z117" s="2" t="str">
        <f t="shared" si="10"/>
        <v/>
      </c>
      <c r="AA117" s="2">
        <f t="shared" si="11"/>
        <v>0</v>
      </c>
      <c r="AB117" s="2">
        <f t="shared" si="12"/>
        <v>0</v>
      </c>
      <c r="AC117" s="2" t="str">
        <f>VLOOKUP(A117,Regions!$A$2:$B$233,2)</f>
        <v>Sub-Saharan Africa</v>
      </c>
    </row>
    <row r="118">
      <c r="A118" s="1" t="s">
        <v>88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2">
        <f t="shared" si="1"/>
        <v>5</v>
      </c>
      <c r="R118" s="2">
        <f t="shared" si="2"/>
        <v>0.0000006500000012</v>
      </c>
      <c r="S118" s="2">
        <f t="shared" si="3"/>
        <v>0</v>
      </c>
      <c r="T118" s="2">
        <f t="shared" si="4"/>
        <v>0</v>
      </c>
      <c r="U118" s="2">
        <f t="shared" si="5"/>
        <v>100</v>
      </c>
      <c r="V118" s="2">
        <f t="shared" si="6"/>
        <v>100</v>
      </c>
      <c r="W118" s="2">
        <f t="shared" si="7"/>
        <v>100</v>
      </c>
      <c r="X118" s="2" t="str">
        <f t="shared" si="8"/>
        <v>full access</v>
      </c>
      <c r="Y118" s="2" t="str">
        <f t="shared" si="9"/>
        <v>full access</v>
      </c>
      <c r="Z118" s="2" t="str">
        <f t="shared" si="10"/>
        <v>full access</v>
      </c>
      <c r="AA118" s="2">
        <f t="shared" si="11"/>
        <v>0</v>
      </c>
      <c r="AB118" s="2">
        <f t="shared" si="12"/>
        <v>0</v>
      </c>
      <c r="AC118" s="2" t="str">
        <f>VLOOKUP(A118,Regions!$A$2:$B$233,2)</f>
        <v>Europe &amp; Central Asia</v>
      </c>
    </row>
    <row r="119">
      <c r="A119" s="1" t="s">
        <v>88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 t="str">
        <f t="shared" si="1"/>
        <v/>
      </c>
      <c r="R119" s="2" t="str">
        <f t="shared" si="2"/>
        <v/>
      </c>
      <c r="S119" s="2" t="str">
        <f t="shared" si="3"/>
        <v/>
      </c>
      <c r="T119" s="2" t="str">
        <f t="shared" si="4"/>
        <v/>
      </c>
      <c r="U119" s="2">
        <f t="shared" si="5"/>
        <v>100</v>
      </c>
      <c r="V119" s="2">
        <f t="shared" si="6"/>
        <v>100</v>
      </c>
      <c r="W119" s="2">
        <f t="shared" si="7"/>
        <v>100</v>
      </c>
      <c r="X119" s="2" t="str">
        <f t="shared" si="8"/>
        <v/>
      </c>
      <c r="Y119" s="2" t="str">
        <f t="shared" si="9"/>
        <v/>
      </c>
      <c r="Z119" s="2" t="str">
        <f t="shared" si="10"/>
        <v/>
      </c>
      <c r="AA119" s="2">
        <f t="shared" si="11"/>
        <v>0</v>
      </c>
      <c r="AB119" s="2">
        <f t="shared" si="12"/>
        <v>0</v>
      </c>
      <c r="AC119" s="2" t="str">
        <f>VLOOKUP(A119,Regions!$A$2:$B$233,2)</f>
        <v>Europe &amp; Central Asia</v>
      </c>
    </row>
    <row r="120">
      <c r="A120" s="1" t="s">
        <v>89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2">
        <f t="shared" si="1"/>
        <v>5</v>
      </c>
      <c r="R120" s="2">
        <f t="shared" si="2"/>
        <v>0.052575036</v>
      </c>
      <c r="S120" s="2">
        <f t="shared" si="3"/>
        <v>-0.295694432</v>
      </c>
      <c r="T120" s="2">
        <f t="shared" si="4"/>
        <v>0.092757016</v>
      </c>
      <c r="U120" s="2">
        <f t="shared" si="5"/>
        <v>76</v>
      </c>
      <c r="V120" s="2">
        <f t="shared" si="6"/>
        <v>49</v>
      </c>
      <c r="W120" s="2">
        <f t="shared" si="7"/>
        <v>84</v>
      </c>
      <c r="X120" s="2" t="str">
        <f t="shared" si="8"/>
        <v/>
      </c>
      <c r="Y120" s="2" t="str">
        <f t="shared" si="9"/>
        <v/>
      </c>
      <c r="Z120" s="2" t="str">
        <f t="shared" si="10"/>
        <v/>
      </c>
      <c r="AA120" s="2">
        <f t="shared" si="11"/>
        <v>-0.388451448</v>
      </c>
      <c r="AB120" s="2">
        <f t="shared" si="12"/>
        <v>0.388451448</v>
      </c>
      <c r="AC120" s="2" t="str">
        <f>VLOOKUP(A120,Regions!$A$2:$B$233,2)</f>
        <v>Sub-Saharan Africa</v>
      </c>
    </row>
    <row r="121">
      <c r="A121" s="1" t="s">
        <v>89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Q121" s="2" t="str">
        <f t="shared" si="1"/>
        <v/>
      </c>
      <c r="R121" s="2" t="str">
        <f t="shared" si="2"/>
        <v/>
      </c>
      <c r="S121" s="2" t="str">
        <f t="shared" si="3"/>
        <v/>
      </c>
      <c r="T121" s="2" t="str">
        <f t="shared" si="4"/>
        <v/>
      </c>
      <c r="U121" s="2">
        <f t="shared" si="5"/>
        <v>76</v>
      </c>
      <c r="V121" s="2">
        <f t="shared" si="6"/>
        <v>47</v>
      </c>
      <c r="W121" s="2">
        <f t="shared" si="7"/>
        <v>84</v>
      </c>
      <c r="X121" s="2" t="str">
        <f t="shared" si="8"/>
        <v/>
      </c>
      <c r="Y121" s="2" t="str">
        <f t="shared" si="9"/>
        <v/>
      </c>
      <c r="Z121" s="2" t="str">
        <f t="shared" si="10"/>
        <v/>
      </c>
      <c r="AA121" s="2">
        <f t="shared" si="11"/>
        <v>0</v>
      </c>
      <c r="AB121" s="2">
        <f t="shared" si="12"/>
        <v>0</v>
      </c>
      <c r="AC121" s="2" t="str">
        <f>VLOOKUP(A121,Regions!$A$2:$B$233,2)</f>
        <v>Sub-Saharan Africa</v>
      </c>
    </row>
    <row r="122">
      <c r="A122" s="1" t="s">
        <v>90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33</v>
      </c>
      <c r="J122" s="1" t="s">
        <v>33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  <c r="Q122" s="2">
        <f t="shared" si="1"/>
        <v>2</v>
      </c>
      <c r="R122" s="2">
        <f t="shared" si="2"/>
        <v>0</v>
      </c>
      <c r="S122" s="2" t="str">
        <f t="shared" si="3"/>
        <v>null</v>
      </c>
      <c r="T122" s="2" t="str">
        <f t="shared" si="4"/>
        <v>null</v>
      </c>
      <c r="U122" s="2">
        <f t="shared" si="5"/>
        <v>95</v>
      </c>
      <c r="V122" s="2" t="str">
        <f t="shared" si="6"/>
        <v>null</v>
      </c>
      <c r="W122" s="2" t="str">
        <f t="shared" si="7"/>
        <v>null</v>
      </c>
      <c r="X122" s="2" t="str">
        <f t="shared" si="8"/>
        <v/>
      </c>
      <c r="Y122" s="2" t="str">
        <f t="shared" si="9"/>
        <v/>
      </c>
      <c r="Z122" s="2" t="str">
        <f t="shared" si="10"/>
        <v/>
      </c>
      <c r="AA122" s="2" t="str">
        <f t="shared" si="11"/>
        <v>null</v>
      </c>
      <c r="AB122" s="2" t="str">
        <f t="shared" si="12"/>
        <v>null</v>
      </c>
      <c r="AC122" s="2" t="str">
        <f>VLOOKUP(A122,Regions!$A$2:$B$233,2)</f>
        <v>Latin America &amp; Caribbean</v>
      </c>
    </row>
    <row r="123">
      <c r="A123" s="1" t="s">
        <v>90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33</v>
      </c>
      <c r="J123" s="1" t="s">
        <v>33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  <c r="Q123" s="2" t="str">
        <f t="shared" si="1"/>
        <v/>
      </c>
      <c r="R123" s="2" t="str">
        <f t="shared" si="2"/>
        <v/>
      </c>
      <c r="S123" s="2" t="str">
        <f t="shared" si="3"/>
        <v/>
      </c>
      <c r="T123" s="2" t="str">
        <f t="shared" si="4"/>
        <v/>
      </c>
      <c r="U123" s="2">
        <f t="shared" si="5"/>
        <v>95</v>
      </c>
      <c r="V123" s="2" t="str">
        <f t="shared" si="6"/>
        <v>null</v>
      </c>
      <c r="W123" s="2" t="str">
        <f t="shared" si="7"/>
        <v>null</v>
      </c>
      <c r="X123" s="2" t="str">
        <f t="shared" si="8"/>
        <v/>
      </c>
      <c r="Y123" s="2" t="str">
        <f t="shared" si="9"/>
        <v/>
      </c>
      <c r="Z123" s="2" t="str">
        <f t="shared" si="10"/>
        <v/>
      </c>
      <c r="AA123" s="2">
        <f t="shared" si="11"/>
        <v>0</v>
      </c>
      <c r="AB123" s="2">
        <f t="shared" si="12"/>
        <v>0</v>
      </c>
      <c r="AC123" s="2" t="str">
        <f>VLOOKUP(A123,Regions!$A$2:$B$233,2)</f>
        <v>Latin America &amp; Caribbean</v>
      </c>
    </row>
    <row r="124">
      <c r="A124" s="1" t="s">
        <v>91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2">
        <f t="shared" si="1"/>
        <v>5</v>
      </c>
      <c r="R124" s="2">
        <f t="shared" si="2"/>
        <v>0.117494684</v>
      </c>
      <c r="S124" s="2">
        <f t="shared" si="3"/>
        <v>0.218684118</v>
      </c>
      <c r="T124" s="2">
        <f t="shared" si="4"/>
        <v>0.011664354</v>
      </c>
      <c r="U124" s="2">
        <f t="shared" si="5"/>
        <v>96</v>
      </c>
      <c r="V124" s="2">
        <f t="shared" si="6"/>
        <v>89</v>
      </c>
      <c r="W124" s="2">
        <f t="shared" si="7"/>
        <v>98</v>
      </c>
      <c r="X124" s="2" t="str">
        <f t="shared" si="8"/>
        <v/>
      </c>
      <c r="Y124" s="2" t="str">
        <f t="shared" si="9"/>
        <v/>
      </c>
      <c r="Z124" s="2" t="str">
        <f t="shared" si="10"/>
        <v/>
      </c>
      <c r="AA124" s="2">
        <f t="shared" si="11"/>
        <v>0.207019764</v>
      </c>
      <c r="AB124" s="2">
        <f t="shared" si="12"/>
        <v>0.207019764</v>
      </c>
      <c r="AC124" s="2" t="str">
        <f>VLOOKUP(A124,Regions!$A$2:$B$233,2)</f>
        <v>Latin America &amp; Caribbean</v>
      </c>
    </row>
    <row r="125">
      <c r="A125" s="1" t="s">
        <v>91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Q125" s="2" t="str">
        <f t="shared" si="1"/>
        <v/>
      </c>
      <c r="R125" s="2" t="str">
        <f t="shared" si="2"/>
        <v/>
      </c>
      <c r="S125" s="2" t="str">
        <f t="shared" si="3"/>
        <v/>
      </c>
      <c r="T125" s="2" t="str">
        <f t="shared" si="4"/>
        <v/>
      </c>
      <c r="U125" s="2">
        <f t="shared" si="5"/>
        <v>97</v>
      </c>
      <c r="V125" s="2">
        <f t="shared" si="6"/>
        <v>90</v>
      </c>
      <c r="W125" s="2">
        <f t="shared" si="7"/>
        <v>98</v>
      </c>
      <c r="X125" s="2" t="str">
        <f t="shared" si="8"/>
        <v/>
      </c>
      <c r="Y125" s="2" t="str">
        <f t="shared" si="9"/>
        <v/>
      </c>
      <c r="Z125" s="2" t="str">
        <f t="shared" si="10"/>
        <v/>
      </c>
      <c r="AA125" s="2">
        <f t="shared" si="11"/>
        <v>0</v>
      </c>
      <c r="AB125" s="2">
        <f t="shared" si="12"/>
        <v>0</v>
      </c>
      <c r="AC125" s="2" t="str">
        <f>VLOOKUP(A125,Regions!$A$2:$B$233,2)</f>
        <v>Latin America &amp; Caribbean</v>
      </c>
    </row>
    <row r="126">
      <c r="A126" s="1" t="s">
        <v>92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2">
        <f t="shared" si="1"/>
        <v>5</v>
      </c>
      <c r="R126" s="2">
        <f t="shared" si="2"/>
        <v>0.459196812</v>
      </c>
      <c r="S126" s="2">
        <f t="shared" si="3"/>
        <v>0.8996526</v>
      </c>
      <c r="T126" s="2">
        <f t="shared" si="4"/>
        <v>0.17353216</v>
      </c>
      <c r="U126" s="2">
        <f t="shared" si="5"/>
        <v>93</v>
      </c>
      <c r="V126" s="2">
        <f t="shared" si="6"/>
        <v>83</v>
      </c>
      <c r="W126" s="2">
        <f t="shared" si="7"/>
        <v>99</v>
      </c>
      <c r="X126" s="2" t="str">
        <f t="shared" si="8"/>
        <v/>
      </c>
      <c r="Y126" s="2" t="str">
        <f t="shared" si="9"/>
        <v/>
      </c>
      <c r="Z126" s="2" t="str">
        <f t="shared" si="10"/>
        <v/>
      </c>
      <c r="AA126" s="2">
        <f t="shared" si="11"/>
        <v>0.72612044</v>
      </c>
      <c r="AB126" s="2">
        <f t="shared" si="12"/>
        <v>0.72612044</v>
      </c>
      <c r="AC126" s="2" t="str">
        <f>VLOOKUP(A126,Regions!$A$2:$B$233,2)</f>
        <v>Latin America &amp; Caribbean</v>
      </c>
    </row>
    <row r="127">
      <c r="A127" s="1" t="s">
        <v>92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Q127" s="2" t="str">
        <f t="shared" si="1"/>
        <v/>
      </c>
      <c r="R127" s="2" t="str">
        <f t="shared" si="2"/>
        <v/>
      </c>
      <c r="S127" s="2" t="str">
        <f t="shared" si="3"/>
        <v/>
      </c>
      <c r="T127" s="2" t="str">
        <f t="shared" si="4"/>
        <v/>
      </c>
      <c r="U127" s="2">
        <f t="shared" si="5"/>
        <v>95</v>
      </c>
      <c r="V127" s="2">
        <f t="shared" si="6"/>
        <v>87</v>
      </c>
      <c r="W127" s="2">
        <f t="shared" si="7"/>
        <v>100</v>
      </c>
      <c r="X127" s="2" t="str">
        <f t="shared" si="8"/>
        <v/>
      </c>
      <c r="Y127" s="2" t="str">
        <f t="shared" si="9"/>
        <v/>
      </c>
      <c r="Z127" s="2" t="str">
        <f t="shared" si="10"/>
        <v/>
      </c>
      <c r="AA127" s="2">
        <f t="shared" si="11"/>
        <v>0</v>
      </c>
      <c r="AB127" s="2">
        <f t="shared" si="12"/>
        <v>0</v>
      </c>
      <c r="AC127" s="2" t="str">
        <f>VLOOKUP(A127,Regions!$A$2:$B$233,2)</f>
        <v>Latin America &amp; Caribbean</v>
      </c>
    </row>
    <row r="128">
      <c r="A128" s="1" t="s">
        <v>93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2">
        <f t="shared" si="1"/>
        <v>5</v>
      </c>
      <c r="R128" s="2">
        <f t="shared" si="2"/>
        <v>0.066691684</v>
      </c>
      <c r="S128" s="2">
        <f t="shared" si="3"/>
        <v>0.106191446</v>
      </c>
      <c r="T128" s="2">
        <f t="shared" si="4"/>
        <v>0.013872274</v>
      </c>
      <c r="U128" s="2">
        <f t="shared" si="5"/>
        <v>99</v>
      </c>
      <c r="V128" s="2">
        <f t="shared" si="6"/>
        <v>99</v>
      </c>
      <c r="W128" s="2">
        <f t="shared" si="7"/>
        <v>100</v>
      </c>
      <c r="X128" s="2" t="str">
        <f t="shared" si="8"/>
        <v/>
      </c>
      <c r="Y128" s="2" t="str">
        <f t="shared" si="9"/>
        <v/>
      </c>
      <c r="Z128" s="2" t="str">
        <f t="shared" si="10"/>
        <v>full access</v>
      </c>
      <c r="AA128" s="2">
        <f t="shared" si="11"/>
        <v>0.092319172</v>
      </c>
      <c r="AB128" s="2">
        <f t="shared" si="12"/>
        <v>0.092319172</v>
      </c>
      <c r="AC128" s="2" t="str">
        <f>VLOOKUP(A128,Regions!$A$2:$B$233,2)</f>
        <v>Middle East &amp; North Africa</v>
      </c>
    </row>
    <row r="129">
      <c r="A129" s="1" t="s">
        <v>93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Q129" s="2" t="str">
        <f t="shared" si="1"/>
        <v/>
      </c>
      <c r="R129" s="2" t="str">
        <f t="shared" si="2"/>
        <v/>
      </c>
      <c r="S129" s="2" t="str">
        <f t="shared" si="3"/>
        <v/>
      </c>
      <c r="T129" s="2" t="str">
        <f t="shared" si="4"/>
        <v/>
      </c>
      <c r="U129" s="2">
        <f t="shared" si="5"/>
        <v>99</v>
      </c>
      <c r="V129" s="2">
        <f t="shared" si="6"/>
        <v>99</v>
      </c>
      <c r="W129" s="2">
        <f t="shared" si="7"/>
        <v>100</v>
      </c>
      <c r="X129" s="2" t="str">
        <f t="shared" si="8"/>
        <v/>
      </c>
      <c r="Y129" s="2" t="str">
        <f t="shared" si="9"/>
        <v/>
      </c>
      <c r="Z129" s="2" t="str">
        <f t="shared" si="10"/>
        <v/>
      </c>
      <c r="AA129" s="2">
        <f t="shared" si="11"/>
        <v>0</v>
      </c>
      <c r="AB129" s="2">
        <f t="shared" si="12"/>
        <v>0</v>
      </c>
      <c r="AC129" s="2" t="str">
        <f>VLOOKUP(A129,Regions!$A$2:$B$233,2)</f>
        <v>Middle East &amp; North Africa</v>
      </c>
    </row>
    <row r="130">
      <c r="A130" s="1" t="s">
        <v>94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2">
        <f t="shared" si="1"/>
        <v>5</v>
      </c>
      <c r="R130" s="2">
        <f t="shared" si="2"/>
        <v>0.476887534</v>
      </c>
      <c r="S130" s="2">
        <f t="shared" si="3"/>
        <v>1.098636152</v>
      </c>
      <c r="T130" s="2">
        <f t="shared" si="4"/>
        <v>0.140890432</v>
      </c>
      <c r="U130" s="2">
        <f t="shared" si="5"/>
        <v>96</v>
      </c>
      <c r="V130" s="2">
        <f t="shared" si="6"/>
        <v>88</v>
      </c>
      <c r="W130" s="2">
        <f t="shared" si="7"/>
        <v>99</v>
      </c>
      <c r="X130" s="2" t="str">
        <f t="shared" si="8"/>
        <v/>
      </c>
      <c r="Y130" s="2" t="str">
        <f t="shared" si="9"/>
        <v/>
      </c>
      <c r="Z130" s="2" t="str">
        <f t="shared" si="10"/>
        <v/>
      </c>
      <c r="AA130" s="2">
        <f t="shared" si="11"/>
        <v>0.95774572</v>
      </c>
      <c r="AB130" s="2">
        <f t="shared" si="12"/>
        <v>0.95774572</v>
      </c>
      <c r="AC130" s="2" t="str">
        <f>VLOOKUP(A130,Regions!$A$2:$B$233,2)</f>
        <v>Latin America &amp; Caribbean</v>
      </c>
    </row>
    <row r="131">
      <c r="A131" s="1" t="s">
        <v>94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Q131" s="2" t="str">
        <f t="shared" si="1"/>
        <v/>
      </c>
      <c r="R131" s="2" t="str">
        <f t="shared" si="2"/>
        <v/>
      </c>
      <c r="S131" s="2" t="str">
        <f t="shared" si="3"/>
        <v/>
      </c>
      <c r="T131" s="2" t="str">
        <f t="shared" si="4"/>
        <v/>
      </c>
      <c r="U131" s="2">
        <f t="shared" si="5"/>
        <v>98</v>
      </c>
      <c r="V131" s="2">
        <f t="shared" si="6"/>
        <v>93</v>
      </c>
      <c r="W131" s="2">
        <f t="shared" si="7"/>
        <v>100</v>
      </c>
      <c r="X131" s="2" t="str">
        <f t="shared" si="8"/>
        <v/>
      </c>
      <c r="Y131" s="2" t="str">
        <f t="shared" si="9"/>
        <v/>
      </c>
      <c r="Z131" s="2" t="str">
        <f t="shared" si="10"/>
        <v/>
      </c>
      <c r="AA131" s="2">
        <f t="shared" si="11"/>
        <v>0</v>
      </c>
      <c r="AB131" s="2">
        <f t="shared" si="12"/>
        <v>0</v>
      </c>
      <c r="AC131" s="2" t="str">
        <f>VLOOKUP(A131,Regions!$A$2:$B$233,2)</f>
        <v>Latin America &amp; Caribbean</v>
      </c>
    </row>
    <row r="132">
      <c r="A132" s="1" t="s">
        <v>95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2">
        <f t="shared" si="1"/>
        <v>2</v>
      </c>
      <c r="R132" s="2">
        <f t="shared" si="2"/>
        <v>0.243607205</v>
      </c>
      <c r="S132" s="2">
        <f t="shared" si="3"/>
        <v>0</v>
      </c>
      <c r="T132" s="2">
        <f t="shared" si="4"/>
        <v>0</v>
      </c>
      <c r="U132" s="2">
        <f t="shared" si="5"/>
        <v>64</v>
      </c>
      <c r="V132" s="2">
        <f t="shared" si="6"/>
        <v>31</v>
      </c>
      <c r="W132" s="2">
        <f t="shared" si="7"/>
        <v>78</v>
      </c>
      <c r="X132" s="2" t="str">
        <f t="shared" si="8"/>
        <v/>
      </c>
      <c r="Y132" s="2" t="str">
        <f t="shared" si="9"/>
        <v/>
      </c>
      <c r="Z132" s="2" t="str">
        <f t="shared" si="10"/>
        <v/>
      </c>
      <c r="AA132" s="2">
        <f t="shared" si="11"/>
        <v>0</v>
      </c>
      <c r="AB132" s="2">
        <f t="shared" si="12"/>
        <v>0</v>
      </c>
      <c r="AC132" s="2" t="str">
        <f>VLOOKUP(A132,Regions!$A$2:$B$233,2)</f>
        <v>Sub-Saharan Africa</v>
      </c>
    </row>
    <row r="133">
      <c r="A133" s="1" t="s">
        <v>95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Q133" s="2" t="str">
        <f t="shared" si="1"/>
        <v/>
      </c>
      <c r="R133" s="2" t="str">
        <f t="shared" si="2"/>
        <v/>
      </c>
      <c r="S133" s="2" t="str">
        <f t="shared" si="3"/>
        <v/>
      </c>
      <c r="T133" s="2" t="str">
        <f t="shared" si="4"/>
        <v/>
      </c>
      <c r="U133" s="2">
        <f t="shared" si="5"/>
        <v>65</v>
      </c>
      <c r="V133" s="2">
        <f t="shared" si="6"/>
        <v>31</v>
      </c>
      <c r="W133" s="2">
        <f t="shared" si="7"/>
        <v>78</v>
      </c>
      <c r="X133" s="2" t="str">
        <f t="shared" si="8"/>
        <v/>
      </c>
      <c r="Y133" s="2" t="str">
        <f t="shared" si="9"/>
        <v/>
      </c>
      <c r="Z133" s="2" t="str">
        <f t="shared" si="10"/>
        <v/>
      </c>
      <c r="AA133" s="2">
        <f t="shared" si="11"/>
        <v>0</v>
      </c>
      <c r="AB133" s="2">
        <f t="shared" si="12"/>
        <v>0</v>
      </c>
      <c r="AC133" s="2" t="str">
        <f>VLOOKUP(A133,Regions!$A$2:$B$233,2)</f>
        <v>Sub-Saharan Africa</v>
      </c>
    </row>
    <row r="134">
      <c r="A134" s="1" t="s">
        <v>96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2">
        <f t="shared" si="1"/>
        <v>1</v>
      </c>
      <c r="R134" s="2">
        <f t="shared" si="2"/>
        <v>0.38462665</v>
      </c>
      <c r="S134" s="2">
        <f t="shared" si="3"/>
        <v>0</v>
      </c>
      <c r="T134" s="2">
        <f t="shared" si="4"/>
        <v>0</v>
      </c>
      <c r="U134" s="2">
        <f t="shared" si="5"/>
        <v>51</v>
      </c>
      <c r="V134" s="2">
        <f t="shared" si="6"/>
        <v>28</v>
      </c>
      <c r="W134" s="2">
        <f t="shared" si="7"/>
        <v>90</v>
      </c>
      <c r="X134" s="2" t="str">
        <f t="shared" si="8"/>
        <v/>
      </c>
      <c r="Y134" s="2" t="str">
        <f t="shared" si="9"/>
        <v/>
      </c>
      <c r="Z134" s="2" t="str">
        <f t="shared" si="10"/>
        <v/>
      </c>
      <c r="AA134" s="2">
        <f t="shared" si="11"/>
        <v>0</v>
      </c>
      <c r="AB134" s="2">
        <f t="shared" si="12"/>
        <v>0</v>
      </c>
      <c r="AC134" s="2" t="str">
        <f>VLOOKUP(A134,Regions!$A$2:$B$233,2)</f>
        <v>Sub-Saharan Africa</v>
      </c>
    </row>
    <row r="135">
      <c r="A135" s="1" t="s">
        <v>96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Q135" s="2" t="str">
        <f t="shared" si="1"/>
        <v/>
      </c>
      <c r="R135" s="2" t="str">
        <f t="shared" si="2"/>
        <v/>
      </c>
      <c r="S135" s="2" t="str">
        <f t="shared" si="3"/>
        <v/>
      </c>
      <c r="T135" s="2" t="str">
        <f t="shared" si="4"/>
        <v/>
      </c>
      <c r="U135" s="2">
        <f t="shared" si="5"/>
        <v>52</v>
      </c>
      <c r="V135" s="2">
        <f t="shared" si="6"/>
        <v>28</v>
      </c>
      <c r="W135" s="2">
        <f t="shared" si="7"/>
        <v>90</v>
      </c>
      <c r="X135" s="2" t="str">
        <f t="shared" si="8"/>
        <v/>
      </c>
      <c r="Y135" s="2" t="str">
        <f t="shared" si="9"/>
        <v/>
      </c>
      <c r="Z135" s="2" t="str">
        <f t="shared" si="10"/>
        <v/>
      </c>
      <c r="AA135" s="2">
        <f t="shared" si="11"/>
        <v>0</v>
      </c>
      <c r="AB135" s="2">
        <f t="shared" si="12"/>
        <v>0</v>
      </c>
      <c r="AC135" s="2" t="str">
        <f>VLOOKUP(A135,Regions!$A$2:$B$233,2)</f>
        <v>Sub-Saharan Africa</v>
      </c>
    </row>
    <row r="136">
      <c r="A136" s="1" t="s">
        <v>97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2">
        <f t="shared" si="1"/>
        <v>5</v>
      </c>
      <c r="R136" s="2">
        <f t="shared" si="2"/>
        <v>-0.032105158</v>
      </c>
      <c r="S136" s="2" t="str">
        <f t="shared" si="3"/>
        <v>null</v>
      </c>
      <c r="T136" s="2">
        <f t="shared" si="4"/>
        <v>0</v>
      </c>
      <c r="U136" s="2">
        <f t="shared" si="5"/>
        <v>100</v>
      </c>
      <c r="V136" s="2">
        <f t="shared" si="6"/>
        <v>99</v>
      </c>
      <c r="W136" s="2">
        <f t="shared" si="7"/>
        <v>100</v>
      </c>
      <c r="X136" s="2" t="str">
        <f t="shared" si="8"/>
        <v>full access</v>
      </c>
      <c r="Y136" s="2" t="str">
        <f t="shared" si="9"/>
        <v/>
      </c>
      <c r="Z136" s="2" t="str">
        <f t="shared" si="10"/>
        <v>full access</v>
      </c>
      <c r="AA136" s="2" t="str">
        <f t="shared" si="11"/>
        <v>null</v>
      </c>
      <c r="AB136" s="2" t="str">
        <f t="shared" si="12"/>
        <v>null</v>
      </c>
      <c r="AC136" s="2" t="str">
        <f>VLOOKUP(A136,Regions!$A$2:$B$233,2)</f>
        <v>Europe &amp; Central Asia</v>
      </c>
    </row>
    <row r="137">
      <c r="A137" s="1" t="s">
        <v>97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33</v>
      </c>
      <c r="J137" s="1" t="s">
        <v>33</v>
      </c>
      <c r="K137" s="1" t="s">
        <v>33</v>
      </c>
      <c r="L137" s="1" t="s">
        <v>33</v>
      </c>
      <c r="M137" s="1">
        <v>99.98545421</v>
      </c>
      <c r="N137" s="1">
        <v>0.0</v>
      </c>
      <c r="O137" s="1">
        <v>0.01454579307</v>
      </c>
      <c r="P137" s="1">
        <v>0.0</v>
      </c>
      <c r="Q137" s="2" t="str">
        <f t="shared" si="1"/>
        <v/>
      </c>
      <c r="R137" s="2" t="str">
        <f t="shared" si="2"/>
        <v/>
      </c>
      <c r="S137" s="2" t="str">
        <f t="shared" si="3"/>
        <v/>
      </c>
      <c r="T137" s="2" t="str">
        <f t="shared" si="4"/>
        <v/>
      </c>
      <c r="U137" s="2">
        <f t="shared" si="5"/>
        <v>100</v>
      </c>
      <c r="V137" s="2" t="str">
        <f t="shared" si="6"/>
        <v>null</v>
      </c>
      <c r="W137" s="2">
        <f t="shared" si="7"/>
        <v>100</v>
      </c>
      <c r="X137" s="2" t="str">
        <f t="shared" si="8"/>
        <v/>
      </c>
      <c r="Y137" s="2" t="str">
        <f t="shared" si="9"/>
        <v/>
      </c>
      <c r="Z137" s="2" t="str">
        <f t="shared" si="10"/>
        <v/>
      </c>
      <c r="AA137" s="2">
        <f t="shared" si="11"/>
        <v>0</v>
      </c>
      <c r="AB137" s="2">
        <f t="shared" si="12"/>
        <v>0</v>
      </c>
      <c r="AC137" s="2" t="str">
        <f>VLOOKUP(A137,Regions!$A$2:$B$233,2)</f>
        <v>Europe &amp; Central Asia</v>
      </c>
    </row>
    <row r="138">
      <c r="A138" s="1" t="s">
        <v>98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2">
        <f t="shared" si="1"/>
        <v>5</v>
      </c>
      <c r="R138" s="2">
        <f t="shared" si="2"/>
        <v>0.809823146</v>
      </c>
      <c r="S138" s="2">
        <f t="shared" si="3"/>
        <v>0.868292768</v>
      </c>
      <c r="T138" s="2">
        <f t="shared" si="4"/>
        <v>0.361032584</v>
      </c>
      <c r="U138" s="2">
        <f t="shared" si="5"/>
        <v>67</v>
      </c>
      <c r="V138" s="2">
        <f t="shared" si="6"/>
        <v>58</v>
      </c>
      <c r="W138" s="2">
        <f t="shared" si="7"/>
        <v>95</v>
      </c>
      <c r="X138" s="2" t="str">
        <f t="shared" si="8"/>
        <v/>
      </c>
      <c r="Y138" s="2" t="str">
        <f t="shared" si="9"/>
        <v/>
      </c>
      <c r="Z138" s="2" t="str">
        <f t="shared" si="10"/>
        <v/>
      </c>
      <c r="AA138" s="2">
        <f t="shared" si="11"/>
        <v>0.507260184</v>
      </c>
      <c r="AB138" s="2">
        <f t="shared" si="12"/>
        <v>0.507260184</v>
      </c>
      <c r="AC138" s="2" t="str">
        <f>VLOOKUP(A138,Regions!$A$2:$B$233,2)</f>
        <v>Sub-Saharan Africa</v>
      </c>
    </row>
    <row r="139">
      <c r="A139" s="1" t="s">
        <v>98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Q139" s="2" t="str">
        <f t="shared" si="1"/>
        <v/>
      </c>
      <c r="R139" s="2" t="str">
        <f t="shared" si="2"/>
        <v/>
      </c>
      <c r="S139" s="2" t="str">
        <f t="shared" si="3"/>
        <v/>
      </c>
      <c r="T139" s="2" t="str">
        <f t="shared" si="4"/>
        <v/>
      </c>
      <c r="U139" s="2">
        <f t="shared" si="5"/>
        <v>71</v>
      </c>
      <c r="V139" s="2">
        <f t="shared" si="6"/>
        <v>62</v>
      </c>
      <c r="W139" s="2">
        <f t="shared" si="7"/>
        <v>97</v>
      </c>
      <c r="X139" s="2" t="str">
        <f t="shared" si="8"/>
        <v/>
      </c>
      <c r="Y139" s="2" t="str">
        <f t="shared" si="9"/>
        <v/>
      </c>
      <c r="Z139" s="2" t="str">
        <f t="shared" si="10"/>
        <v/>
      </c>
      <c r="AA139" s="2">
        <f t="shared" si="11"/>
        <v>0</v>
      </c>
      <c r="AB139" s="2">
        <f t="shared" si="12"/>
        <v>0</v>
      </c>
      <c r="AC139" s="2" t="str">
        <f>VLOOKUP(A139,Regions!$A$2:$B$233,2)</f>
        <v>Sub-Saharan Africa</v>
      </c>
    </row>
    <row r="140">
      <c r="A140" s="1" t="s">
        <v>99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2">
        <f t="shared" si="1"/>
        <v>5</v>
      </c>
      <c r="R140" s="2">
        <f t="shared" si="2"/>
        <v>1.509101108</v>
      </c>
      <c r="S140" s="2">
        <f t="shared" si="3"/>
        <v>1.515674352</v>
      </c>
      <c r="T140" s="2">
        <f t="shared" si="4"/>
        <v>0.450730324</v>
      </c>
      <c r="U140" s="2">
        <f t="shared" si="5"/>
        <v>42</v>
      </c>
      <c r="V140" s="2">
        <f t="shared" si="6"/>
        <v>32</v>
      </c>
      <c r="W140" s="2">
        <f t="shared" si="7"/>
        <v>82</v>
      </c>
      <c r="X140" s="2" t="str">
        <f t="shared" si="8"/>
        <v/>
      </c>
      <c r="Y140" s="2" t="str">
        <f t="shared" si="9"/>
        <v/>
      </c>
      <c r="Z140" s="2" t="str">
        <f t="shared" si="10"/>
        <v/>
      </c>
      <c r="AA140" s="2">
        <f t="shared" si="11"/>
        <v>1.064944028</v>
      </c>
      <c r="AB140" s="2">
        <f t="shared" si="12"/>
        <v>1.064944028</v>
      </c>
      <c r="AC140" s="2" t="str">
        <f>VLOOKUP(A140,Regions!$A$2:$B$233,2)</f>
        <v>Sub-Saharan Africa</v>
      </c>
    </row>
    <row r="141">
      <c r="A141" s="1" t="s">
        <v>99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Q141" s="2" t="str">
        <f t="shared" si="1"/>
        <v/>
      </c>
      <c r="R141" s="2" t="str">
        <f t="shared" si="2"/>
        <v/>
      </c>
      <c r="S141" s="2" t="str">
        <f t="shared" si="3"/>
        <v/>
      </c>
      <c r="T141" s="2" t="str">
        <f t="shared" si="4"/>
        <v/>
      </c>
      <c r="U141" s="2">
        <f t="shared" si="5"/>
        <v>50</v>
      </c>
      <c r="V141" s="2">
        <f t="shared" si="6"/>
        <v>40</v>
      </c>
      <c r="W141" s="2">
        <f t="shared" si="7"/>
        <v>84</v>
      </c>
      <c r="X141" s="2" t="str">
        <f t="shared" si="8"/>
        <v/>
      </c>
      <c r="Y141" s="2" t="str">
        <f t="shared" si="9"/>
        <v/>
      </c>
      <c r="Z141" s="2" t="str">
        <f t="shared" si="10"/>
        <v/>
      </c>
      <c r="AA141" s="2">
        <f t="shared" si="11"/>
        <v>0</v>
      </c>
      <c r="AB141" s="2">
        <f t="shared" si="12"/>
        <v>0</v>
      </c>
      <c r="AC141" s="2" t="str">
        <f>VLOOKUP(A141,Regions!$A$2:$B$233,2)</f>
        <v>Sub-Saharan Africa</v>
      </c>
    </row>
    <row r="142">
      <c r="A142" s="1" t="s">
        <v>100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33</v>
      </c>
      <c r="J142" s="1" t="s">
        <v>33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  <c r="Q142" s="2">
        <f t="shared" si="1"/>
        <v>5</v>
      </c>
      <c r="R142" s="2">
        <f t="shared" si="2"/>
        <v>0</v>
      </c>
      <c r="S142" s="2" t="str">
        <f t="shared" si="3"/>
        <v>null</v>
      </c>
      <c r="T142" s="2" t="str">
        <f t="shared" si="4"/>
        <v>null</v>
      </c>
      <c r="U142" s="2">
        <f t="shared" si="5"/>
        <v>100</v>
      </c>
      <c r="V142" s="2" t="str">
        <f t="shared" si="6"/>
        <v>null</v>
      </c>
      <c r="W142" s="2" t="str">
        <f t="shared" si="7"/>
        <v>null</v>
      </c>
      <c r="X142" s="2" t="str">
        <f t="shared" si="8"/>
        <v>full access</v>
      </c>
      <c r="Y142" s="2" t="str">
        <f t="shared" si="9"/>
        <v/>
      </c>
      <c r="Z142" s="2" t="str">
        <f t="shared" si="10"/>
        <v/>
      </c>
      <c r="AA142" s="2" t="str">
        <f t="shared" si="11"/>
        <v>null</v>
      </c>
      <c r="AB142" s="2" t="str">
        <f t="shared" si="12"/>
        <v>null</v>
      </c>
      <c r="AC142" s="2" t="str">
        <f>VLOOKUP(A142,Regions!$A$2:$B$233,2)</f>
        <v>Europe &amp; Central Asia</v>
      </c>
    </row>
    <row r="143">
      <c r="A143" s="1" t="s">
        <v>100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33</v>
      </c>
      <c r="J143" s="1" t="s">
        <v>33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33</v>
      </c>
      <c r="Q143" s="2" t="str">
        <f t="shared" si="1"/>
        <v/>
      </c>
      <c r="R143" s="2" t="str">
        <f t="shared" si="2"/>
        <v/>
      </c>
      <c r="S143" s="2" t="str">
        <f t="shared" si="3"/>
        <v/>
      </c>
      <c r="T143" s="2" t="str">
        <f t="shared" si="4"/>
        <v/>
      </c>
      <c r="U143" s="2">
        <f t="shared" si="5"/>
        <v>100</v>
      </c>
      <c r="V143" s="2" t="str">
        <f t="shared" si="6"/>
        <v>null</v>
      </c>
      <c r="W143" s="2" t="str">
        <f t="shared" si="7"/>
        <v>null</v>
      </c>
      <c r="X143" s="2" t="str">
        <f t="shared" si="8"/>
        <v/>
      </c>
      <c r="Y143" s="2" t="str">
        <f t="shared" si="9"/>
        <v/>
      </c>
      <c r="Z143" s="2" t="str">
        <f t="shared" si="10"/>
        <v/>
      </c>
      <c r="AA143" s="2">
        <f t="shared" si="11"/>
        <v>0</v>
      </c>
      <c r="AB143" s="2">
        <f t="shared" si="12"/>
        <v>0</v>
      </c>
      <c r="AC143" s="2" t="str">
        <f>VLOOKUP(A143,Regions!$A$2:$B$233,2)</f>
        <v>Europe &amp; Central Asia</v>
      </c>
    </row>
    <row r="144">
      <c r="A144" s="1" t="s">
        <v>101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2">
        <f t="shared" si="1"/>
        <v>5</v>
      </c>
      <c r="R144" s="2">
        <f t="shared" si="2"/>
        <v>0.097784148</v>
      </c>
      <c r="S144" s="2">
        <f t="shared" si="3"/>
        <v>0</v>
      </c>
      <c r="T144" s="2">
        <f t="shared" si="4"/>
        <v>0</v>
      </c>
      <c r="U144" s="2">
        <f t="shared" si="5"/>
        <v>95</v>
      </c>
      <c r="V144" s="2">
        <f t="shared" si="6"/>
        <v>78</v>
      </c>
      <c r="W144" s="2">
        <f t="shared" si="7"/>
        <v>100</v>
      </c>
      <c r="X144" s="2" t="str">
        <f t="shared" si="8"/>
        <v/>
      </c>
      <c r="Y144" s="2" t="str">
        <f t="shared" si="9"/>
        <v/>
      </c>
      <c r="Z144" s="2" t="str">
        <f t="shared" si="10"/>
        <v>full access</v>
      </c>
      <c r="AA144" s="2">
        <f t="shared" si="11"/>
        <v>0</v>
      </c>
      <c r="AB144" s="2">
        <f t="shared" si="12"/>
        <v>0</v>
      </c>
      <c r="AC144" s="2" t="str">
        <f>VLOOKUP(A144,Regions!$A$2:$B$233,2)</f>
        <v>Latin America &amp; Caribbean</v>
      </c>
    </row>
    <row r="145">
      <c r="A145" s="1" t="s">
        <v>101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Q145" s="2" t="str">
        <f t="shared" si="1"/>
        <v/>
      </c>
      <c r="R145" s="2" t="str">
        <f t="shared" si="2"/>
        <v/>
      </c>
      <c r="S145" s="2" t="str">
        <f t="shared" si="3"/>
        <v/>
      </c>
      <c r="T145" s="2" t="str">
        <f t="shared" si="4"/>
        <v/>
      </c>
      <c r="U145" s="2">
        <f t="shared" si="5"/>
        <v>95</v>
      </c>
      <c r="V145" s="2">
        <f t="shared" si="6"/>
        <v>78</v>
      </c>
      <c r="W145" s="2">
        <f t="shared" si="7"/>
        <v>100</v>
      </c>
      <c r="X145" s="2" t="str">
        <f t="shared" si="8"/>
        <v/>
      </c>
      <c r="Y145" s="2" t="str">
        <f t="shared" si="9"/>
        <v/>
      </c>
      <c r="Z145" s="2" t="str">
        <f t="shared" si="10"/>
        <v/>
      </c>
      <c r="AA145" s="2">
        <f t="shared" si="11"/>
        <v>0</v>
      </c>
      <c r="AB145" s="2">
        <f t="shared" si="12"/>
        <v>0</v>
      </c>
      <c r="AC145" s="2" t="str">
        <f>VLOOKUP(A145,Regions!$A$2:$B$233,2)</f>
        <v>Latin America &amp; Caribbean</v>
      </c>
    </row>
    <row r="146">
      <c r="A146" s="1" t="s">
        <v>102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2">
        <f t="shared" si="1"/>
        <v>5</v>
      </c>
      <c r="R146" s="2">
        <f t="shared" si="2"/>
        <v>0.007701314</v>
      </c>
      <c r="S146" s="2">
        <f t="shared" si="3"/>
        <v>-0.058100668</v>
      </c>
      <c r="T146" s="2">
        <f t="shared" si="4"/>
        <v>-0.021760122</v>
      </c>
      <c r="U146" s="2">
        <f t="shared" si="5"/>
        <v>94</v>
      </c>
      <c r="V146" s="2">
        <f t="shared" si="6"/>
        <v>89</v>
      </c>
      <c r="W146" s="2">
        <f t="shared" si="7"/>
        <v>98</v>
      </c>
      <c r="X146" s="2" t="str">
        <f t="shared" si="8"/>
        <v/>
      </c>
      <c r="Y146" s="2" t="str">
        <f t="shared" si="9"/>
        <v/>
      </c>
      <c r="Z146" s="2" t="str">
        <f t="shared" si="10"/>
        <v/>
      </c>
      <c r="AA146" s="2">
        <f t="shared" si="11"/>
        <v>-0.036340546</v>
      </c>
      <c r="AB146" s="2">
        <f t="shared" si="12"/>
        <v>0.036340546</v>
      </c>
      <c r="AC146" s="2" t="str">
        <f>VLOOKUP(A146,Regions!$A$2:$B$233,2)</f>
        <v>East Asia &amp; Pacific</v>
      </c>
    </row>
    <row r="147">
      <c r="A147" s="1" t="s">
        <v>102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Q147" s="2" t="str">
        <f t="shared" si="1"/>
        <v/>
      </c>
      <c r="R147" s="2" t="str">
        <f t="shared" si="2"/>
        <v/>
      </c>
      <c r="S147" s="2" t="str">
        <f t="shared" si="3"/>
        <v/>
      </c>
      <c r="T147" s="2" t="str">
        <f t="shared" si="4"/>
        <v/>
      </c>
      <c r="U147" s="2">
        <f t="shared" si="5"/>
        <v>94</v>
      </c>
      <c r="V147" s="2">
        <f t="shared" si="6"/>
        <v>89</v>
      </c>
      <c r="W147" s="2">
        <f t="shared" si="7"/>
        <v>98</v>
      </c>
      <c r="X147" s="2" t="str">
        <f t="shared" si="8"/>
        <v/>
      </c>
      <c r="Y147" s="2" t="str">
        <f t="shared" si="9"/>
        <v/>
      </c>
      <c r="Z147" s="2" t="str">
        <f t="shared" si="10"/>
        <v/>
      </c>
      <c r="AA147" s="2">
        <f t="shared" si="11"/>
        <v>0</v>
      </c>
      <c r="AB147" s="2">
        <f t="shared" si="12"/>
        <v>0</v>
      </c>
      <c r="AC147" s="2" t="str">
        <f>VLOOKUP(A147,Regions!$A$2:$B$233,2)</f>
        <v>East Asia &amp; Pacific</v>
      </c>
    </row>
    <row r="148">
      <c r="A148" s="1" t="s">
        <v>103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2">
        <f t="shared" si="1"/>
        <v>5</v>
      </c>
      <c r="R148" s="2">
        <f t="shared" si="2"/>
        <v>0.000001328000002</v>
      </c>
      <c r="S148" s="2">
        <f t="shared" si="3"/>
        <v>0</v>
      </c>
      <c r="T148" s="2">
        <f t="shared" si="4"/>
        <v>0</v>
      </c>
      <c r="U148" s="2">
        <f t="shared" si="5"/>
        <v>100</v>
      </c>
      <c r="V148" s="2">
        <f t="shared" si="6"/>
        <v>100</v>
      </c>
      <c r="W148" s="2">
        <f t="shared" si="7"/>
        <v>100</v>
      </c>
      <c r="X148" s="2" t="str">
        <f t="shared" si="8"/>
        <v>full access</v>
      </c>
      <c r="Y148" s="2" t="str">
        <f t="shared" si="9"/>
        <v>full access</v>
      </c>
      <c r="Z148" s="2" t="str">
        <f t="shared" si="10"/>
        <v>full access</v>
      </c>
      <c r="AA148" s="2">
        <f t="shared" si="11"/>
        <v>0</v>
      </c>
      <c r="AB148" s="2">
        <f t="shared" si="12"/>
        <v>0</v>
      </c>
      <c r="AC148" s="2" t="str">
        <f>VLOOKUP(A148,Regions!$A$2:$B$233,2)</f>
        <v>Europe &amp; Central Asia</v>
      </c>
    </row>
    <row r="149">
      <c r="A149" s="1" t="s">
        <v>103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Q149" s="2" t="str">
        <f t="shared" si="1"/>
        <v/>
      </c>
      <c r="R149" s="2" t="str">
        <f t="shared" si="2"/>
        <v/>
      </c>
      <c r="S149" s="2" t="str">
        <f t="shared" si="3"/>
        <v/>
      </c>
      <c r="T149" s="2" t="str">
        <f t="shared" si="4"/>
        <v/>
      </c>
      <c r="U149" s="2">
        <f t="shared" si="5"/>
        <v>100</v>
      </c>
      <c r="V149" s="2">
        <f t="shared" si="6"/>
        <v>100</v>
      </c>
      <c r="W149" s="2">
        <f t="shared" si="7"/>
        <v>100</v>
      </c>
      <c r="X149" s="2" t="str">
        <f t="shared" si="8"/>
        <v/>
      </c>
      <c r="Y149" s="2" t="str">
        <f t="shared" si="9"/>
        <v/>
      </c>
      <c r="Z149" s="2" t="str">
        <f t="shared" si="10"/>
        <v/>
      </c>
      <c r="AA149" s="2">
        <f t="shared" si="11"/>
        <v>0</v>
      </c>
      <c r="AB149" s="2">
        <f t="shared" si="12"/>
        <v>0</v>
      </c>
      <c r="AC149" s="2" t="str">
        <f>VLOOKUP(A149,Regions!$A$2:$B$233,2)</f>
        <v>Europe &amp; Central Asia</v>
      </c>
    </row>
    <row r="150">
      <c r="A150" s="1" t="s">
        <v>104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2">
        <f t="shared" si="1"/>
        <v>5</v>
      </c>
      <c r="R150" s="2">
        <f t="shared" si="2"/>
        <v>-0.0000002999999992</v>
      </c>
      <c r="S150" s="2">
        <f t="shared" si="3"/>
        <v>0</v>
      </c>
      <c r="T150" s="2">
        <f t="shared" si="4"/>
        <v>0</v>
      </c>
      <c r="U150" s="2">
        <f t="shared" si="5"/>
        <v>100</v>
      </c>
      <c r="V150" s="2">
        <f t="shared" si="6"/>
        <v>100</v>
      </c>
      <c r="W150" s="2">
        <f t="shared" si="7"/>
        <v>100</v>
      </c>
      <c r="X150" s="2" t="str">
        <f t="shared" si="8"/>
        <v>full access</v>
      </c>
      <c r="Y150" s="2" t="str">
        <f t="shared" si="9"/>
        <v>full access</v>
      </c>
      <c r="Z150" s="2" t="str">
        <f t="shared" si="10"/>
        <v>full access</v>
      </c>
      <c r="AA150" s="2">
        <f t="shared" si="11"/>
        <v>0</v>
      </c>
      <c r="AB150" s="2">
        <f t="shared" si="12"/>
        <v>0</v>
      </c>
      <c r="AC150" s="2" t="str">
        <f>VLOOKUP(A150,Regions!$A$2:$B$233,2)</f>
        <v>Europe &amp; Central Asia</v>
      </c>
    </row>
    <row r="151">
      <c r="A151" s="1" t="s">
        <v>104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2" t="str">
        <f t="shared" si="1"/>
        <v/>
      </c>
      <c r="R151" s="2" t="str">
        <f t="shared" si="2"/>
        <v/>
      </c>
      <c r="S151" s="2" t="str">
        <f t="shared" si="3"/>
        <v/>
      </c>
      <c r="T151" s="2" t="str">
        <f t="shared" si="4"/>
        <v/>
      </c>
      <c r="U151" s="2">
        <f t="shared" si="5"/>
        <v>100</v>
      </c>
      <c r="V151" s="2">
        <f t="shared" si="6"/>
        <v>100</v>
      </c>
      <c r="W151" s="2">
        <f t="shared" si="7"/>
        <v>100</v>
      </c>
      <c r="X151" s="2" t="str">
        <f t="shared" si="8"/>
        <v/>
      </c>
      <c r="Y151" s="2" t="str">
        <f t="shared" si="9"/>
        <v/>
      </c>
      <c r="Z151" s="2" t="str">
        <f t="shared" si="10"/>
        <v/>
      </c>
      <c r="AA151" s="2">
        <f t="shared" si="11"/>
        <v>0</v>
      </c>
      <c r="AB151" s="2">
        <f t="shared" si="12"/>
        <v>0</v>
      </c>
      <c r="AC151" s="2" t="str">
        <f>VLOOKUP(A151,Regions!$A$2:$B$233,2)</f>
        <v>Europe &amp; Central Asia</v>
      </c>
    </row>
    <row r="152">
      <c r="A152" s="1" t="s">
        <v>105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2">
        <f t="shared" si="1"/>
        <v>5</v>
      </c>
      <c r="R152" s="2">
        <f t="shared" si="2"/>
        <v>0.044031956</v>
      </c>
      <c r="S152" s="2" t="str">
        <f t="shared" si="3"/>
        <v>null</v>
      </c>
      <c r="T152" s="2" t="str">
        <f t="shared" si="4"/>
        <v>null</v>
      </c>
      <c r="U152" s="2">
        <f t="shared" si="5"/>
        <v>94</v>
      </c>
      <c r="V152" s="2" t="str">
        <f t="shared" si="6"/>
        <v>null</v>
      </c>
      <c r="W152" s="2" t="str">
        <f t="shared" si="7"/>
        <v>null</v>
      </c>
      <c r="X152" s="2" t="str">
        <f t="shared" si="8"/>
        <v/>
      </c>
      <c r="Y152" s="2" t="str">
        <f t="shared" si="9"/>
        <v/>
      </c>
      <c r="Z152" s="2" t="str">
        <f t="shared" si="10"/>
        <v/>
      </c>
      <c r="AA152" s="2" t="str">
        <f t="shared" si="11"/>
        <v>null</v>
      </c>
      <c r="AB152" s="2" t="str">
        <f t="shared" si="12"/>
        <v>null</v>
      </c>
      <c r="AC152" s="2" t="str">
        <f>VLOOKUP(A152,Regions!$A$2:$B$233,2)</f>
        <v>Latin America &amp; Caribbean</v>
      </c>
    </row>
    <row r="153">
      <c r="A153" s="1" t="s">
        <v>105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2" t="str">
        <f t="shared" si="1"/>
        <v/>
      </c>
      <c r="R153" s="2" t="str">
        <f t="shared" si="2"/>
        <v/>
      </c>
      <c r="S153" s="2" t="str">
        <f t="shared" si="3"/>
        <v/>
      </c>
      <c r="T153" s="2" t="str">
        <f t="shared" si="4"/>
        <v/>
      </c>
      <c r="U153" s="2">
        <f t="shared" si="5"/>
        <v>94</v>
      </c>
      <c r="V153" s="2" t="str">
        <f t="shared" si="6"/>
        <v>null</v>
      </c>
      <c r="W153" s="2" t="str">
        <f t="shared" si="7"/>
        <v>null</v>
      </c>
      <c r="X153" s="2" t="str">
        <f t="shared" si="8"/>
        <v/>
      </c>
      <c r="Y153" s="2" t="str">
        <f t="shared" si="9"/>
        <v/>
      </c>
      <c r="Z153" s="2" t="str">
        <f t="shared" si="10"/>
        <v/>
      </c>
      <c r="AA153" s="2">
        <f t="shared" si="11"/>
        <v>0</v>
      </c>
      <c r="AB153" s="2">
        <f t="shared" si="12"/>
        <v>0</v>
      </c>
      <c r="AC153" s="2" t="str">
        <f>VLOOKUP(A153,Regions!$A$2:$B$233,2)</f>
        <v>Latin America &amp; Caribbean</v>
      </c>
    </row>
    <row r="154">
      <c r="A154" s="1" t="s">
        <v>106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2">
        <f t="shared" si="1"/>
        <v>5</v>
      </c>
      <c r="R154" s="2">
        <f t="shared" si="2"/>
        <v>0</v>
      </c>
      <c r="S154" s="2" t="str">
        <f t="shared" si="3"/>
        <v>null</v>
      </c>
      <c r="T154" s="2" t="str">
        <f t="shared" si="4"/>
        <v>null</v>
      </c>
      <c r="U154" s="2">
        <f t="shared" si="5"/>
        <v>100</v>
      </c>
      <c r="V154" s="2" t="str">
        <f t="shared" si="6"/>
        <v>null</v>
      </c>
      <c r="W154" s="2" t="str">
        <f t="shared" si="7"/>
        <v>null</v>
      </c>
      <c r="X154" s="2" t="str">
        <f t="shared" si="8"/>
        <v>full access</v>
      </c>
      <c r="Y154" s="2" t="str">
        <f t="shared" si="9"/>
        <v/>
      </c>
      <c r="Z154" s="2" t="str">
        <f t="shared" si="10"/>
        <v/>
      </c>
      <c r="AA154" s="2" t="str">
        <f t="shared" si="11"/>
        <v>null</v>
      </c>
      <c r="AB154" s="2" t="str">
        <f t="shared" si="12"/>
        <v>null</v>
      </c>
      <c r="AC154" s="2" t="str">
        <f>VLOOKUP(A154,Regions!$A$2:$B$233,2)</f>
        <v>East Asia &amp; Pacific</v>
      </c>
    </row>
    <row r="155">
      <c r="A155" s="1" t="s">
        <v>106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2" t="str">
        <f t="shared" si="1"/>
        <v/>
      </c>
      <c r="R155" s="2" t="str">
        <f t="shared" si="2"/>
        <v/>
      </c>
      <c r="S155" s="2" t="str">
        <f t="shared" si="3"/>
        <v/>
      </c>
      <c r="T155" s="2" t="str">
        <f t="shared" si="4"/>
        <v/>
      </c>
      <c r="U155" s="2">
        <f t="shared" si="5"/>
        <v>100</v>
      </c>
      <c r="V155" s="2" t="str">
        <f t="shared" si="6"/>
        <v>null</v>
      </c>
      <c r="W155" s="2" t="str">
        <f t="shared" si="7"/>
        <v>null</v>
      </c>
      <c r="X155" s="2" t="str">
        <f t="shared" si="8"/>
        <v/>
      </c>
      <c r="Y155" s="2" t="str">
        <f t="shared" si="9"/>
        <v/>
      </c>
      <c r="Z155" s="2" t="str">
        <f t="shared" si="10"/>
        <v/>
      </c>
      <c r="AA155" s="2">
        <f t="shared" si="11"/>
        <v>0</v>
      </c>
      <c r="AB155" s="2">
        <f t="shared" si="12"/>
        <v>0</v>
      </c>
      <c r="AC155" s="2" t="str">
        <f>VLOOKUP(A155,Regions!$A$2:$B$233,2)</f>
        <v>East Asia &amp; Pacific</v>
      </c>
    </row>
    <row r="156">
      <c r="A156" s="1" t="s">
        <v>107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2">
        <f t="shared" si="1"/>
        <v>5</v>
      </c>
      <c r="R156" s="2">
        <f t="shared" si="2"/>
        <v>0.29668881</v>
      </c>
      <c r="S156" s="2">
        <f t="shared" si="3"/>
        <v>0.27117117</v>
      </c>
      <c r="T156" s="2">
        <f t="shared" si="4"/>
        <v>0.09824146</v>
      </c>
      <c r="U156" s="2">
        <f t="shared" si="5"/>
        <v>84</v>
      </c>
      <c r="V156" s="2">
        <f t="shared" si="6"/>
        <v>43</v>
      </c>
      <c r="W156" s="2">
        <f t="shared" si="7"/>
        <v>89</v>
      </c>
      <c r="X156" s="2" t="str">
        <f t="shared" si="8"/>
        <v/>
      </c>
      <c r="Y156" s="2" t="str">
        <f t="shared" si="9"/>
        <v/>
      </c>
      <c r="Z156" s="2" t="str">
        <f t="shared" si="10"/>
        <v/>
      </c>
      <c r="AA156" s="2">
        <f t="shared" si="11"/>
        <v>0.17292971</v>
      </c>
      <c r="AB156" s="2">
        <f t="shared" si="12"/>
        <v>0.17292971</v>
      </c>
      <c r="AC156" s="2" t="str">
        <f>VLOOKUP(A156,Regions!$A$2:$B$233,2)</f>
        <v>Sub-Saharan Africa</v>
      </c>
    </row>
    <row r="157">
      <c r="A157" s="1" t="s">
        <v>107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33</v>
      </c>
      <c r="I157" s="1">
        <v>44.74588901</v>
      </c>
      <c r="J157" s="1">
        <v>10.51114859</v>
      </c>
      <c r="K157" s="1">
        <v>44.7429624</v>
      </c>
      <c r="L157" s="1" t="s">
        <v>33</v>
      </c>
      <c r="M157" s="1">
        <v>89.80653917</v>
      </c>
      <c r="N157" s="1">
        <v>7.42998076</v>
      </c>
      <c r="O157" s="1">
        <v>2.763480072</v>
      </c>
      <c r="P157" s="1" t="s">
        <v>33</v>
      </c>
      <c r="Q157" s="2" t="str">
        <f t="shared" si="1"/>
        <v/>
      </c>
      <c r="R157" s="2" t="str">
        <f t="shared" si="2"/>
        <v/>
      </c>
      <c r="S157" s="2" t="str">
        <f t="shared" si="3"/>
        <v/>
      </c>
      <c r="T157" s="2" t="str">
        <f t="shared" si="4"/>
        <v/>
      </c>
      <c r="U157" s="2">
        <f t="shared" si="5"/>
        <v>85</v>
      </c>
      <c r="V157" s="2">
        <f t="shared" si="6"/>
        <v>45</v>
      </c>
      <c r="W157" s="2">
        <f t="shared" si="7"/>
        <v>90</v>
      </c>
      <c r="X157" s="2" t="str">
        <f t="shared" si="8"/>
        <v/>
      </c>
      <c r="Y157" s="2" t="str">
        <f t="shared" si="9"/>
        <v/>
      </c>
      <c r="Z157" s="2" t="str">
        <f t="shared" si="10"/>
        <v/>
      </c>
      <c r="AA157" s="2">
        <f t="shared" si="11"/>
        <v>0</v>
      </c>
      <c r="AB157" s="2">
        <f t="shared" si="12"/>
        <v>0</v>
      </c>
      <c r="AC157" s="2" t="str">
        <f>VLOOKUP(A157,Regions!$A$2:$B$233,2)</f>
        <v>Sub-Saharan Africa</v>
      </c>
    </row>
    <row r="158">
      <c r="A158" s="1" t="s">
        <v>108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2">
        <f t="shared" si="1"/>
        <v>5</v>
      </c>
      <c r="R158" s="2">
        <f t="shared" si="2"/>
        <v>0.346048128</v>
      </c>
      <c r="S158" s="2">
        <f t="shared" si="3"/>
        <v>0.186726128</v>
      </c>
      <c r="T158" s="2">
        <f t="shared" si="4"/>
        <v>0.243046602</v>
      </c>
      <c r="U158" s="2">
        <f t="shared" si="5"/>
        <v>79</v>
      </c>
      <c r="V158" s="2">
        <f t="shared" si="6"/>
        <v>68</v>
      </c>
      <c r="W158" s="2">
        <f t="shared" si="7"/>
        <v>87</v>
      </c>
      <c r="X158" s="2" t="str">
        <f t="shared" si="8"/>
        <v/>
      </c>
      <c r="Y158" s="2" t="str">
        <f t="shared" si="9"/>
        <v/>
      </c>
      <c r="Z158" s="2" t="str">
        <f t="shared" si="10"/>
        <v/>
      </c>
      <c r="AA158" s="2">
        <f t="shared" si="11"/>
        <v>-0.056320474</v>
      </c>
      <c r="AB158" s="2">
        <f t="shared" si="12"/>
        <v>0.056320474</v>
      </c>
      <c r="AC158" s="2" t="str">
        <f>VLOOKUP(A158,Regions!$A$2:$B$233,2)</f>
        <v>Sub-Saharan Africa</v>
      </c>
    </row>
    <row r="159">
      <c r="A159" s="1" t="s">
        <v>108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Q159" s="2" t="str">
        <f t="shared" si="1"/>
        <v/>
      </c>
      <c r="R159" s="2" t="str">
        <f t="shared" si="2"/>
        <v/>
      </c>
      <c r="S159" s="2" t="str">
        <f t="shared" si="3"/>
        <v/>
      </c>
      <c r="T159" s="2" t="str">
        <f t="shared" si="4"/>
        <v/>
      </c>
      <c r="U159" s="2">
        <f t="shared" si="5"/>
        <v>81</v>
      </c>
      <c r="V159" s="2">
        <f t="shared" si="6"/>
        <v>69</v>
      </c>
      <c r="W159" s="2">
        <f t="shared" si="7"/>
        <v>88</v>
      </c>
      <c r="X159" s="2" t="str">
        <f t="shared" si="8"/>
        <v/>
      </c>
      <c r="Y159" s="2" t="str">
        <f t="shared" si="9"/>
        <v/>
      </c>
      <c r="Z159" s="2" t="str">
        <f t="shared" si="10"/>
        <v/>
      </c>
      <c r="AA159" s="2">
        <f t="shared" si="11"/>
        <v>0</v>
      </c>
      <c r="AB159" s="2">
        <f t="shared" si="12"/>
        <v>0</v>
      </c>
      <c r="AC159" s="2" t="str">
        <f>VLOOKUP(A159,Regions!$A$2:$B$233,2)</f>
        <v>Sub-Saharan Africa</v>
      </c>
    </row>
    <row r="160">
      <c r="A160" s="1" t="s">
        <v>109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2">
        <f t="shared" si="1"/>
        <v>5</v>
      </c>
      <c r="R160" s="2">
        <f t="shared" si="2"/>
        <v>0.318682038</v>
      </c>
      <c r="S160" s="2">
        <f t="shared" si="3"/>
        <v>0.595346722</v>
      </c>
      <c r="T160" s="2">
        <f t="shared" si="4"/>
        <v>0.077637698</v>
      </c>
      <c r="U160" s="2">
        <f t="shared" si="5"/>
        <v>96</v>
      </c>
      <c r="V160" s="2">
        <f t="shared" si="6"/>
        <v>91</v>
      </c>
      <c r="W160" s="2">
        <f t="shared" si="7"/>
        <v>99</v>
      </c>
      <c r="X160" s="2" t="str">
        <f t="shared" si="8"/>
        <v/>
      </c>
      <c r="Y160" s="2" t="str">
        <f t="shared" si="9"/>
        <v/>
      </c>
      <c r="Z160" s="2" t="str">
        <f t="shared" si="10"/>
        <v/>
      </c>
      <c r="AA160" s="2">
        <f t="shared" si="11"/>
        <v>0.517709024</v>
      </c>
      <c r="AB160" s="2">
        <f t="shared" si="12"/>
        <v>0.517709024</v>
      </c>
      <c r="AC160" s="2" t="str">
        <f>VLOOKUP(A160,Regions!$A$2:$B$233,2)</f>
        <v>Europe &amp; Central Asia</v>
      </c>
    </row>
    <row r="161">
      <c r="A161" s="1" t="s">
        <v>109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Q161" s="2" t="str">
        <f t="shared" si="1"/>
        <v/>
      </c>
      <c r="R161" s="2" t="str">
        <f t="shared" si="2"/>
        <v/>
      </c>
      <c r="S161" s="2" t="str">
        <f t="shared" si="3"/>
        <v/>
      </c>
      <c r="T161" s="2" t="str">
        <f t="shared" si="4"/>
        <v/>
      </c>
      <c r="U161" s="2">
        <f t="shared" si="5"/>
        <v>97</v>
      </c>
      <c r="V161" s="2">
        <f t="shared" si="6"/>
        <v>94</v>
      </c>
      <c r="W161" s="2">
        <f t="shared" si="7"/>
        <v>99</v>
      </c>
      <c r="X161" s="2" t="str">
        <f t="shared" si="8"/>
        <v/>
      </c>
      <c r="Y161" s="2" t="str">
        <f t="shared" si="9"/>
        <v/>
      </c>
      <c r="Z161" s="2" t="str">
        <f t="shared" si="10"/>
        <v/>
      </c>
      <c r="AA161" s="2">
        <f t="shared" si="11"/>
        <v>0</v>
      </c>
      <c r="AB161" s="2">
        <f t="shared" si="12"/>
        <v>0</v>
      </c>
      <c r="AC161" s="2" t="str">
        <f>VLOOKUP(A161,Regions!$A$2:$B$233,2)</f>
        <v>Europe &amp; Central Asia</v>
      </c>
    </row>
    <row r="162">
      <c r="A162" s="1" t="s">
        <v>110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2">
        <f t="shared" si="1"/>
        <v>5</v>
      </c>
      <c r="R162" s="2">
        <f t="shared" si="2"/>
        <v>-0.00000001999999881</v>
      </c>
      <c r="S162" s="2">
        <f t="shared" si="3"/>
        <v>0</v>
      </c>
      <c r="T162" s="2">
        <f t="shared" si="4"/>
        <v>0</v>
      </c>
      <c r="U162" s="2">
        <f t="shared" si="5"/>
        <v>100</v>
      </c>
      <c r="V162" s="2">
        <f t="shared" si="6"/>
        <v>100</v>
      </c>
      <c r="W162" s="2">
        <f t="shared" si="7"/>
        <v>100</v>
      </c>
      <c r="X162" s="2" t="str">
        <f t="shared" si="8"/>
        <v>full access</v>
      </c>
      <c r="Y162" s="2" t="str">
        <f t="shared" si="9"/>
        <v>full access</v>
      </c>
      <c r="Z162" s="2" t="str">
        <f t="shared" si="10"/>
        <v>full access</v>
      </c>
      <c r="AA162" s="2">
        <f t="shared" si="11"/>
        <v>0</v>
      </c>
      <c r="AB162" s="2">
        <f t="shared" si="12"/>
        <v>0</v>
      </c>
      <c r="AC162" s="2" t="str">
        <f>VLOOKUP(A162,Regions!$A$2:$B$233,2)</f>
        <v>Europe &amp; Central Asia</v>
      </c>
    </row>
    <row r="163">
      <c r="A163" s="1" t="s">
        <v>110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2" t="str">
        <f t="shared" si="1"/>
        <v/>
      </c>
      <c r="R163" s="2" t="str">
        <f t="shared" si="2"/>
        <v/>
      </c>
      <c r="S163" s="2" t="str">
        <f t="shared" si="3"/>
        <v/>
      </c>
      <c r="T163" s="2" t="str">
        <f t="shared" si="4"/>
        <v/>
      </c>
      <c r="U163" s="2">
        <f t="shared" si="5"/>
        <v>100</v>
      </c>
      <c r="V163" s="2">
        <f t="shared" si="6"/>
        <v>100</v>
      </c>
      <c r="W163" s="2">
        <f t="shared" si="7"/>
        <v>100</v>
      </c>
      <c r="X163" s="2" t="str">
        <f t="shared" si="8"/>
        <v/>
      </c>
      <c r="Y163" s="2" t="str">
        <f t="shared" si="9"/>
        <v/>
      </c>
      <c r="Z163" s="2" t="str">
        <f t="shared" si="10"/>
        <v/>
      </c>
      <c r="AA163" s="2">
        <f t="shared" si="11"/>
        <v>0</v>
      </c>
      <c r="AB163" s="2">
        <f t="shared" si="12"/>
        <v>0</v>
      </c>
      <c r="AC163" s="2" t="str">
        <f>VLOOKUP(A163,Regions!$A$2:$B$233,2)</f>
        <v>Europe &amp; Central Asia</v>
      </c>
    </row>
    <row r="164">
      <c r="A164" s="1" t="s">
        <v>111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2">
        <f t="shared" si="1"/>
        <v>5</v>
      </c>
      <c r="R164" s="2">
        <f t="shared" si="2"/>
        <v>1.126607084</v>
      </c>
      <c r="S164" s="2">
        <f t="shared" si="3"/>
        <v>0.936889056</v>
      </c>
      <c r="T164" s="2">
        <f t="shared" si="4"/>
        <v>0.995247936</v>
      </c>
      <c r="U164" s="2">
        <f t="shared" si="5"/>
        <v>80</v>
      </c>
      <c r="V164" s="2">
        <f t="shared" si="6"/>
        <v>67</v>
      </c>
      <c r="W164" s="2">
        <f t="shared" si="7"/>
        <v>91</v>
      </c>
      <c r="X164" s="2" t="str">
        <f t="shared" si="8"/>
        <v/>
      </c>
      <c r="Y164" s="2" t="str">
        <f t="shared" si="9"/>
        <v/>
      </c>
      <c r="Z164" s="2" t="str">
        <f t="shared" si="10"/>
        <v/>
      </c>
      <c r="AA164" s="2">
        <f t="shared" si="11"/>
        <v>-0.05835888</v>
      </c>
      <c r="AB164" s="2">
        <f t="shared" si="12"/>
        <v>0.05835888</v>
      </c>
      <c r="AC164" s="2" t="str">
        <f>VLOOKUP(A164,Regions!$A$2:$B$233,2)</f>
        <v>Sub-Saharan Africa</v>
      </c>
    </row>
    <row r="165">
      <c r="A165" s="1" t="s">
        <v>111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Q165" s="2" t="str">
        <f t="shared" si="1"/>
        <v/>
      </c>
      <c r="R165" s="2" t="str">
        <f t="shared" si="2"/>
        <v/>
      </c>
      <c r="S165" s="2" t="str">
        <f t="shared" si="3"/>
        <v/>
      </c>
      <c r="T165" s="2" t="str">
        <f t="shared" si="4"/>
        <v/>
      </c>
      <c r="U165" s="2">
        <f t="shared" si="5"/>
        <v>86</v>
      </c>
      <c r="V165" s="2">
        <f t="shared" si="6"/>
        <v>72</v>
      </c>
      <c r="W165" s="2">
        <f t="shared" si="7"/>
        <v>96</v>
      </c>
      <c r="X165" s="2" t="str">
        <f t="shared" si="8"/>
        <v/>
      </c>
      <c r="Y165" s="2" t="str">
        <f t="shared" si="9"/>
        <v/>
      </c>
      <c r="Z165" s="2" t="str">
        <f t="shared" si="10"/>
        <v/>
      </c>
      <c r="AA165" s="2">
        <f t="shared" si="11"/>
        <v>0</v>
      </c>
      <c r="AB165" s="2">
        <f t="shared" si="12"/>
        <v>0</v>
      </c>
      <c r="AC165" s="2" t="str">
        <f>VLOOKUP(A165,Regions!$A$2:$B$233,2)</f>
        <v>Sub-Saharan Africa</v>
      </c>
    </row>
    <row r="166">
      <c r="A166" s="1" t="s">
        <v>112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33</v>
      </c>
      <c r="J166" s="1" t="s">
        <v>33</v>
      </c>
      <c r="K166" s="1" t="s">
        <v>33</v>
      </c>
      <c r="L166" s="1" t="s">
        <v>33</v>
      </c>
      <c r="M166" s="1">
        <v>100.0</v>
      </c>
      <c r="N166" s="1">
        <v>0.0</v>
      </c>
      <c r="O166" s="1">
        <v>0.0</v>
      </c>
      <c r="P166" s="1">
        <v>0.0</v>
      </c>
      <c r="Q166" s="2">
        <f t="shared" si="1"/>
        <v>5</v>
      </c>
      <c r="R166" s="2">
        <f t="shared" si="2"/>
        <v>0</v>
      </c>
      <c r="S166" s="2" t="str">
        <f t="shared" si="3"/>
        <v>null</v>
      </c>
      <c r="T166" s="2">
        <f t="shared" si="4"/>
        <v>0</v>
      </c>
      <c r="U166" s="2">
        <f t="shared" si="5"/>
        <v>100</v>
      </c>
      <c r="V166" s="2" t="str">
        <f t="shared" si="6"/>
        <v>null</v>
      </c>
      <c r="W166" s="2">
        <f t="shared" si="7"/>
        <v>100</v>
      </c>
      <c r="X166" s="2" t="str">
        <f t="shared" si="8"/>
        <v>full access</v>
      </c>
      <c r="Y166" s="2" t="str">
        <f t="shared" si="9"/>
        <v/>
      </c>
      <c r="Z166" s="2" t="str">
        <f t="shared" si="10"/>
        <v>full access</v>
      </c>
      <c r="AA166" s="2" t="str">
        <f t="shared" si="11"/>
        <v>null</v>
      </c>
      <c r="AB166" s="2" t="str">
        <f t="shared" si="12"/>
        <v>null</v>
      </c>
      <c r="AC166" s="2" t="str">
        <f>VLOOKUP(A166,Regions!$A$2:$B$233,2)</f>
        <v>Europe &amp; Central Asia</v>
      </c>
    </row>
    <row r="167">
      <c r="A167" s="1" t="s">
        <v>112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33</v>
      </c>
      <c r="J167" s="1" t="s">
        <v>33</v>
      </c>
      <c r="K167" s="1" t="s">
        <v>33</v>
      </c>
      <c r="L167" s="1" t="s">
        <v>33</v>
      </c>
      <c r="M167" s="1">
        <v>100.0</v>
      </c>
      <c r="N167" s="1">
        <v>0.0</v>
      </c>
      <c r="O167" s="1">
        <v>0.0</v>
      </c>
      <c r="P167" s="1">
        <v>0.0</v>
      </c>
      <c r="Q167" s="2" t="str">
        <f t="shared" si="1"/>
        <v/>
      </c>
      <c r="R167" s="2" t="str">
        <f t="shared" si="2"/>
        <v/>
      </c>
      <c r="S167" s="2" t="str">
        <f t="shared" si="3"/>
        <v/>
      </c>
      <c r="T167" s="2" t="str">
        <f t="shared" si="4"/>
        <v/>
      </c>
      <c r="U167" s="2">
        <f t="shared" si="5"/>
        <v>100</v>
      </c>
      <c r="V167" s="2" t="str">
        <f t="shared" si="6"/>
        <v>null</v>
      </c>
      <c r="W167" s="2">
        <f t="shared" si="7"/>
        <v>100</v>
      </c>
      <c r="X167" s="2" t="str">
        <f t="shared" si="8"/>
        <v/>
      </c>
      <c r="Y167" s="2" t="str">
        <f t="shared" si="9"/>
        <v/>
      </c>
      <c r="Z167" s="2" t="str">
        <f t="shared" si="10"/>
        <v/>
      </c>
      <c r="AA167" s="2">
        <f t="shared" si="11"/>
        <v>0</v>
      </c>
      <c r="AB167" s="2">
        <f t="shared" si="12"/>
        <v>0</v>
      </c>
      <c r="AC167" s="2" t="str">
        <f>VLOOKUP(A167,Regions!$A$2:$B$233,2)</f>
        <v>Europe &amp; Central Asia</v>
      </c>
    </row>
    <row r="168">
      <c r="A168" s="1" t="s">
        <v>113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2">
        <f t="shared" si="1"/>
        <v>5</v>
      </c>
      <c r="R168" s="2">
        <f t="shared" si="2"/>
        <v>-0.0000004599999983</v>
      </c>
      <c r="S168" s="2">
        <f t="shared" si="3"/>
        <v>0</v>
      </c>
      <c r="T168" s="2">
        <f t="shared" si="4"/>
        <v>0</v>
      </c>
      <c r="U168" s="2">
        <f t="shared" si="5"/>
        <v>100</v>
      </c>
      <c r="V168" s="2">
        <f t="shared" si="6"/>
        <v>100</v>
      </c>
      <c r="W168" s="2">
        <f t="shared" si="7"/>
        <v>100</v>
      </c>
      <c r="X168" s="2" t="str">
        <f t="shared" si="8"/>
        <v>full access</v>
      </c>
      <c r="Y168" s="2" t="str">
        <f t="shared" si="9"/>
        <v>full access</v>
      </c>
      <c r="Z168" s="2" t="str">
        <f t="shared" si="10"/>
        <v>full access</v>
      </c>
      <c r="AA168" s="2">
        <f t="shared" si="11"/>
        <v>0</v>
      </c>
      <c r="AB168" s="2">
        <f t="shared" si="12"/>
        <v>0</v>
      </c>
      <c r="AC168" s="2" t="str">
        <f>VLOOKUP(A168,Regions!$A$2:$B$233,2)</f>
        <v>Europe &amp; Central Asia</v>
      </c>
    </row>
    <row r="169">
      <c r="A169" s="1" t="s">
        <v>113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Q169" s="2" t="str">
        <f t="shared" si="1"/>
        <v/>
      </c>
      <c r="R169" s="2" t="str">
        <f t="shared" si="2"/>
        <v/>
      </c>
      <c r="S169" s="2" t="str">
        <f t="shared" si="3"/>
        <v/>
      </c>
      <c r="T169" s="2" t="str">
        <f t="shared" si="4"/>
        <v/>
      </c>
      <c r="U169" s="2">
        <f t="shared" si="5"/>
        <v>100</v>
      </c>
      <c r="V169" s="2">
        <f t="shared" si="6"/>
        <v>100</v>
      </c>
      <c r="W169" s="2">
        <f t="shared" si="7"/>
        <v>100</v>
      </c>
      <c r="X169" s="2" t="str">
        <f t="shared" si="8"/>
        <v/>
      </c>
      <c r="Y169" s="2" t="str">
        <f t="shared" si="9"/>
        <v/>
      </c>
      <c r="Z169" s="2" t="str">
        <f t="shared" si="10"/>
        <v/>
      </c>
      <c r="AA169" s="2">
        <f t="shared" si="11"/>
        <v>0</v>
      </c>
      <c r="AB169" s="2">
        <f t="shared" si="12"/>
        <v>0</v>
      </c>
      <c r="AC169" s="2" t="str">
        <f>VLOOKUP(A169,Regions!$A$2:$B$233,2)</f>
        <v>Europe &amp; Central Asia</v>
      </c>
    </row>
    <row r="170">
      <c r="A170" s="1" t="s">
        <v>114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2">
        <f t="shared" si="1"/>
        <v>5</v>
      </c>
      <c r="R170" s="2">
        <f t="shared" si="2"/>
        <v>0.0000003399999997</v>
      </c>
      <c r="S170" s="2">
        <f t="shared" si="3"/>
        <v>0</v>
      </c>
      <c r="T170" s="2">
        <f t="shared" si="4"/>
        <v>0</v>
      </c>
      <c r="U170" s="2">
        <f t="shared" si="5"/>
        <v>100</v>
      </c>
      <c r="V170" s="2">
        <f t="shared" si="6"/>
        <v>100</v>
      </c>
      <c r="W170" s="2">
        <f t="shared" si="7"/>
        <v>100</v>
      </c>
      <c r="X170" s="2" t="str">
        <f t="shared" si="8"/>
        <v>full access</v>
      </c>
      <c r="Y170" s="2" t="str">
        <f t="shared" si="9"/>
        <v>full access</v>
      </c>
      <c r="Z170" s="2" t="str">
        <f t="shared" si="10"/>
        <v>full access</v>
      </c>
      <c r="AA170" s="2">
        <f t="shared" si="11"/>
        <v>0</v>
      </c>
      <c r="AB170" s="2">
        <f t="shared" si="12"/>
        <v>0</v>
      </c>
      <c r="AC170" s="2" t="str">
        <f>VLOOKUP(A170,Regions!$A$2:$B$233,2)</f>
        <v>North America</v>
      </c>
    </row>
    <row r="171">
      <c r="A171" s="1" t="s">
        <v>114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Q171" s="2" t="str">
        <f t="shared" si="1"/>
        <v/>
      </c>
      <c r="R171" s="2" t="str">
        <f t="shared" si="2"/>
        <v/>
      </c>
      <c r="S171" s="2" t="str">
        <f t="shared" si="3"/>
        <v/>
      </c>
      <c r="T171" s="2" t="str">
        <f t="shared" si="4"/>
        <v/>
      </c>
      <c r="U171" s="2">
        <f t="shared" si="5"/>
        <v>100</v>
      </c>
      <c r="V171" s="2">
        <f t="shared" si="6"/>
        <v>100</v>
      </c>
      <c r="W171" s="2">
        <f t="shared" si="7"/>
        <v>100</v>
      </c>
      <c r="X171" s="2" t="str">
        <f t="shared" si="8"/>
        <v/>
      </c>
      <c r="Y171" s="2" t="str">
        <f t="shared" si="9"/>
        <v/>
      </c>
      <c r="Z171" s="2" t="str">
        <f t="shared" si="10"/>
        <v/>
      </c>
      <c r="AA171" s="2">
        <f t="shared" si="11"/>
        <v>0</v>
      </c>
      <c r="AB171" s="2">
        <f t="shared" si="12"/>
        <v>0</v>
      </c>
      <c r="AC171" s="2" t="str">
        <f>VLOOKUP(A171,Regions!$A$2:$B$233,2)</f>
        <v>North America</v>
      </c>
    </row>
    <row r="172">
      <c r="A172" s="1" t="s">
        <v>115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2">
        <f t="shared" si="1"/>
        <v>2</v>
      </c>
      <c r="R172" s="2">
        <f t="shared" si="2"/>
        <v>0</v>
      </c>
      <c r="S172" s="2" t="str">
        <f t="shared" si="3"/>
        <v>null</v>
      </c>
      <c r="T172" s="2" t="str">
        <f t="shared" si="4"/>
        <v>null</v>
      </c>
      <c r="U172" s="2">
        <f t="shared" si="5"/>
        <v>96</v>
      </c>
      <c r="V172" s="2" t="str">
        <f t="shared" si="6"/>
        <v>null</v>
      </c>
      <c r="W172" s="2" t="str">
        <f t="shared" si="7"/>
        <v>null</v>
      </c>
      <c r="X172" s="2" t="str">
        <f t="shared" si="8"/>
        <v/>
      </c>
      <c r="Y172" s="2" t="str">
        <f t="shared" si="9"/>
        <v/>
      </c>
      <c r="Z172" s="2" t="str">
        <f t="shared" si="10"/>
        <v/>
      </c>
      <c r="AA172" s="2" t="str">
        <f t="shared" si="11"/>
        <v>null</v>
      </c>
      <c r="AB172" s="2" t="str">
        <f t="shared" si="12"/>
        <v>null</v>
      </c>
      <c r="AC172" s="2" t="str">
        <f>VLOOKUP(A172,Regions!$A$2:$B$233,2)</f>
        <v>Latin America &amp; Caribbean</v>
      </c>
    </row>
    <row r="173">
      <c r="A173" s="1" t="s">
        <v>115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2" t="str">
        <f t="shared" si="1"/>
        <v/>
      </c>
      <c r="R173" s="2" t="str">
        <f t="shared" si="2"/>
        <v/>
      </c>
      <c r="S173" s="2" t="str">
        <f t="shared" si="3"/>
        <v/>
      </c>
      <c r="T173" s="2" t="str">
        <f t="shared" si="4"/>
        <v/>
      </c>
      <c r="U173" s="2">
        <f t="shared" si="5"/>
        <v>96</v>
      </c>
      <c r="V173" s="2" t="str">
        <f t="shared" si="6"/>
        <v>null</v>
      </c>
      <c r="W173" s="2" t="str">
        <f t="shared" si="7"/>
        <v>null</v>
      </c>
      <c r="X173" s="2" t="str">
        <f t="shared" si="8"/>
        <v/>
      </c>
      <c r="Y173" s="2" t="str">
        <f t="shared" si="9"/>
        <v/>
      </c>
      <c r="Z173" s="2" t="str">
        <f t="shared" si="10"/>
        <v/>
      </c>
      <c r="AA173" s="2">
        <f t="shared" si="11"/>
        <v>0</v>
      </c>
      <c r="AB173" s="2">
        <f t="shared" si="12"/>
        <v>0</v>
      </c>
      <c r="AC173" s="2" t="str">
        <f>VLOOKUP(A173,Regions!$A$2:$B$233,2)</f>
        <v>Latin America &amp; Caribbean</v>
      </c>
    </row>
    <row r="174">
      <c r="A174" s="1" t="s">
        <v>116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2">
        <f t="shared" si="1"/>
        <v>5</v>
      </c>
      <c r="R174" s="2">
        <f t="shared" si="2"/>
        <v>0.038419582</v>
      </c>
      <c r="S174" s="2" t="str">
        <f t="shared" si="3"/>
        <v>null</v>
      </c>
      <c r="T174" s="2" t="str">
        <f t="shared" si="4"/>
        <v>null</v>
      </c>
      <c r="U174" s="2">
        <f t="shared" si="5"/>
        <v>100</v>
      </c>
      <c r="V174" s="2" t="str">
        <f t="shared" si="6"/>
        <v>null</v>
      </c>
      <c r="W174" s="2" t="str">
        <f t="shared" si="7"/>
        <v>null</v>
      </c>
      <c r="X174" s="2" t="str">
        <f t="shared" si="8"/>
        <v>full access</v>
      </c>
      <c r="Y174" s="2" t="str">
        <f t="shared" si="9"/>
        <v/>
      </c>
      <c r="Z174" s="2" t="str">
        <f t="shared" si="10"/>
        <v/>
      </c>
      <c r="AA174" s="2" t="str">
        <f t="shared" si="11"/>
        <v>null</v>
      </c>
      <c r="AB174" s="2" t="str">
        <f t="shared" si="12"/>
        <v>null</v>
      </c>
      <c r="AC174" s="2" t="str">
        <f>VLOOKUP(A174,Regions!$A$2:$B$233,2)</f>
        <v>Latin America &amp; Caribbean</v>
      </c>
    </row>
    <row r="175">
      <c r="A175" s="1" t="s">
        <v>116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2" t="str">
        <f t="shared" si="1"/>
        <v/>
      </c>
      <c r="R175" s="2" t="str">
        <f t="shared" si="2"/>
        <v/>
      </c>
      <c r="S175" s="2" t="str">
        <f t="shared" si="3"/>
        <v/>
      </c>
      <c r="T175" s="2" t="str">
        <f t="shared" si="4"/>
        <v/>
      </c>
      <c r="U175" s="2">
        <f t="shared" si="5"/>
        <v>100</v>
      </c>
      <c r="V175" s="2" t="str">
        <f t="shared" si="6"/>
        <v>null</v>
      </c>
      <c r="W175" s="2" t="str">
        <f t="shared" si="7"/>
        <v>null</v>
      </c>
      <c r="X175" s="2" t="str">
        <f t="shared" si="8"/>
        <v/>
      </c>
      <c r="Y175" s="2" t="str">
        <f t="shared" si="9"/>
        <v/>
      </c>
      <c r="Z175" s="2" t="str">
        <f t="shared" si="10"/>
        <v/>
      </c>
      <c r="AA175" s="2">
        <f t="shared" si="11"/>
        <v>0</v>
      </c>
      <c r="AB175" s="2">
        <f t="shared" si="12"/>
        <v>0</v>
      </c>
      <c r="AC175" s="2" t="str">
        <f>VLOOKUP(A175,Regions!$A$2:$B$233,2)</f>
        <v>Latin America &amp; Caribbean</v>
      </c>
    </row>
    <row r="176">
      <c r="A176" s="1" t="s">
        <v>117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2">
        <f t="shared" si="1"/>
        <v>5</v>
      </c>
      <c r="R176" s="2">
        <f t="shared" si="2"/>
        <v>0</v>
      </c>
      <c r="S176" s="2" t="str">
        <f t="shared" si="3"/>
        <v>null</v>
      </c>
      <c r="T176" s="2" t="str">
        <f t="shared" si="4"/>
        <v>null</v>
      </c>
      <c r="U176" s="2">
        <f t="shared" si="5"/>
        <v>100</v>
      </c>
      <c r="V176" s="2" t="str">
        <f t="shared" si="6"/>
        <v>null</v>
      </c>
      <c r="W176" s="2" t="str">
        <f t="shared" si="7"/>
        <v>null</v>
      </c>
      <c r="X176" s="2" t="str">
        <f t="shared" si="8"/>
        <v>full access</v>
      </c>
      <c r="Y176" s="2" t="str">
        <f t="shared" si="9"/>
        <v/>
      </c>
      <c r="Z176" s="2" t="str">
        <f t="shared" si="10"/>
        <v/>
      </c>
      <c r="AA176" s="2" t="str">
        <f t="shared" si="11"/>
        <v>null</v>
      </c>
      <c r="AB176" s="2" t="str">
        <f t="shared" si="12"/>
        <v>null</v>
      </c>
      <c r="AC176" s="2" t="str">
        <f>VLOOKUP(A176,Regions!$A$2:$B$233,2)</f>
        <v>East Asia &amp; Pacific</v>
      </c>
    </row>
    <row r="177">
      <c r="A177" s="1" t="s">
        <v>117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2" t="str">
        <f t="shared" si="1"/>
        <v/>
      </c>
      <c r="R177" s="2" t="str">
        <f t="shared" si="2"/>
        <v/>
      </c>
      <c r="S177" s="2" t="str">
        <f t="shared" si="3"/>
        <v/>
      </c>
      <c r="T177" s="2" t="str">
        <f t="shared" si="4"/>
        <v/>
      </c>
      <c r="U177" s="2">
        <f t="shared" si="5"/>
        <v>100</v>
      </c>
      <c r="V177" s="2" t="str">
        <f t="shared" si="6"/>
        <v>null</v>
      </c>
      <c r="W177" s="2" t="str">
        <f t="shared" si="7"/>
        <v>null</v>
      </c>
      <c r="X177" s="2" t="str">
        <f t="shared" si="8"/>
        <v/>
      </c>
      <c r="Y177" s="2" t="str">
        <f t="shared" si="9"/>
        <v/>
      </c>
      <c r="Z177" s="2" t="str">
        <f t="shared" si="10"/>
        <v/>
      </c>
      <c r="AA177" s="2">
        <f t="shared" si="11"/>
        <v>0</v>
      </c>
      <c r="AB177" s="2">
        <f t="shared" si="12"/>
        <v>0</v>
      </c>
      <c r="AC177" s="2" t="str">
        <f>VLOOKUP(A177,Regions!$A$2:$B$233,2)</f>
        <v>East Asia &amp; Pacific</v>
      </c>
    </row>
    <row r="178">
      <c r="A178" s="1" t="s">
        <v>118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2">
        <f t="shared" si="1"/>
        <v>5</v>
      </c>
      <c r="R178" s="2">
        <f t="shared" si="2"/>
        <v>0.374478884</v>
      </c>
      <c r="S178" s="2">
        <f t="shared" si="3"/>
        <v>0.575314724</v>
      </c>
      <c r="T178" s="2">
        <f t="shared" si="4"/>
        <v>0.117436106</v>
      </c>
      <c r="U178" s="2">
        <f t="shared" si="5"/>
        <v>92</v>
      </c>
      <c r="V178" s="2">
        <f t="shared" si="6"/>
        <v>87</v>
      </c>
      <c r="W178" s="2">
        <f t="shared" si="7"/>
        <v>97</v>
      </c>
      <c r="X178" s="2" t="str">
        <f t="shared" si="8"/>
        <v/>
      </c>
      <c r="Y178" s="2" t="str">
        <f t="shared" si="9"/>
        <v/>
      </c>
      <c r="Z178" s="2" t="str">
        <f t="shared" si="10"/>
        <v/>
      </c>
      <c r="AA178" s="2">
        <f t="shared" si="11"/>
        <v>0.457878618</v>
      </c>
      <c r="AB178" s="2">
        <f t="shared" si="12"/>
        <v>0.457878618</v>
      </c>
      <c r="AC178" s="2" t="str">
        <f>VLOOKUP(A178,Regions!$A$2:$B$233,2)</f>
        <v>Latin America &amp; Caribbean</v>
      </c>
    </row>
    <row r="179">
      <c r="A179" s="1" t="s">
        <v>118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Q179" s="2" t="str">
        <f t="shared" si="1"/>
        <v/>
      </c>
      <c r="R179" s="2" t="str">
        <f t="shared" si="2"/>
        <v/>
      </c>
      <c r="S179" s="2" t="str">
        <f t="shared" si="3"/>
        <v/>
      </c>
      <c r="T179" s="2" t="str">
        <f t="shared" si="4"/>
        <v/>
      </c>
      <c r="U179" s="2">
        <f t="shared" si="5"/>
        <v>94</v>
      </c>
      <c r="V179" s="2">
        <f t="shared" si="6"/>
        <v>90</v>
      </c>
      <c r="W179" s="2">
        <f t="shared" si="7"/>
        <v>98</v>
      </c>
      <c r="X179" s="2" t="str">
        <f t="shared" si="8"/>
        <v/>
      </c>
      <c r="Y179" s="2" t="str">
        <f t="shared" si="9"/>
        <v/>
      </c>
      <c r="Z179" s="2" t="str">
        <f t="shared" si="10"/>
        <v/>
      </c>
      <c r="AA179" s="2">
        <f t="shared" si="11"/>
        <v>0</v>
      </c>
      <c r="AB179" s="2">
        <f t="shared" si="12"/>
        <v>0</v>
      </c>
      <c r="AC179" s="2" t="str">
        <f>VLOOKUP(A179,Regions!$A$2:$B$233,2)</f>
        <v>Latin America &amp; Caribbean</v>
      </c>
    </row>
    <row r="180">
      <c r="A180" s="1" t="s">
        <v>119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2">
        <f t="shared" si="1"/>
        <v>5</v>
      </c>
      <c r="R180" s="2">
        <f t="shared" si="2"/>
        <v>0.06927984</v>
      </c>
      <c r="S180" s="2">
        <f t="shared" si="3"/>
        <v>-0.24019527</v>
      </c>
      <c r="T180" s="2">
        <f t="shared" si="4"/>
        <v>0.286836476</v>
      </c>
      <c r="U180" s="2">
        <f t="shared" si="5"/>
        <v>64</v>
      </c>
      <c r="V180" s="2">
        <f t="shared" si="6"/>
        <v>52</v>
      </c>
      <c r="W180" s="2">
        <f t="shared" si="7"/>
        <v>85</v>
      </c>
      <c r="X180" s="2" t="str">
        <f t="shared" si="8"/>
        <v/>
      </c>
      <c r="Y180" s="2" t="str">
        <f t="shared" si="9"/>
        <v/>
      </c>
      <c r="Z180" s="2" t="str">
        <f t="shared" si="10"/>
        <v/>
      </c>
      <c r="AA180" s="2">
        <f t="shared" si="11"/>
        <v>-0.527031746</v>
      </c>
      <c r="AB180" s="2">
        <f t="shared" si="12"/>
        <v>0.527031746</v>
      </c>
      <c r="AC180" s="2" t="str">
        <f>VLOOKUP(A180,Regions!$A$2:$B$233,2)</f>
        <v>Sub-Saharan Africa</v>
      </c>
    </row>
    <row r="181">
      <c r="A181" s="1" t="s">
        <v>119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Q181" s="2" t="str">
        <f t="shared" si="1"/>
        <v/>
      </c>
      <c r="R181" s="2" t="str">
        <f t="shared" si="2"/>
        <v/>
      </c>
      <c r="S181" s="2" t="str">
        <f t="shared" si="3"/>
        <v/>
      </c>
      <c r="T181" s="2" t="str">
        <f t="shared" si="4"/>
        <v/>
      </c>
      <c r="U181" s="2">
        <f t="shared" si="5"/>
        <v>64</v>
      </c>
      <c r="V181" s="2">
        <f t="shared" si="6"/>
        <v>51</v>
      </c>
      <c r="W181" s="2">
        <f t="shared" si="7"/>
        <v>87</v>
      </c>
      <c r="X181" s="2" t="str">
        <f t="shared" si="8"/>
        <v/>
      </c>
      <c r="Y181" s="2" t="str">
        <f t="shared" si="9"/>
        <v/>
      </c>
      <c r="Z181" s="2" t="str">
        <f t="shared" si="10"/>
        <v/>
      </c>
      <c r="AA181" s="2">
        <f t="shared" si="11"/>
        <v>0</v>
      </c>
      <c r="AB181" s="2">
        <f t="shared" si="12"/>
        <v>0</v>
      </c>
      <c r="AC181" s="2" t="str">
        <f>VLOOKUP(A181,Regions!$A$2:$B$233,2)</f>
        <v>Sub-Saharan Africa</v>
      </c>
    </row>
    <row r="182">
      <c r="A182" s="1" t="s">
        <v>120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2">
        <f t="shared" si="1"/>
        <v>5</v>
      </c>
      <c r="R182" s="2">
        <f t="shared" si="2"/>
        <v>0.050512918</v>
      </c>
      <c r="S182" s="2">
        <f t="shared" si="3"/>
        <v>0.28183505</v>
      </c>
      <c r="T182" s="2">
        <f t="shared" si="4"/>
        <v>-0.471876662</v>
      </c>
      <c r="U182" s="2">
        <f t="shared" si="5"/>
        <v>59</v>
      </c>
      <c r="V182" s="2">
        <f t="shared" si="6"/>
        <v>48</v>
      </c>
      <c r="W182" s="2">
        <f t="shared" si="7"/>
        <v>73</v>
      </c>
      <c r="X182" s="2" t="str">
        <f t="shared" si="8"/>
        <v/>
      </c>
      <c r="Y182" s="2" t="str">
        <f t="shared" si="9"/>
        <v/>
      </c>
      <c r="Z182" s="2" t="str">
        <f t="shared" si="10"/>
        <v/>
      </c>
      <c r="AA182" s="2">
        <f t="shared" si="11"/>
        <v>0.753711712</v>
      </c>
      <c r="AB182" s="2">
        <f t="shared" si="12"/>
        <v>0.753711712</v>
      </c>
      <c r="AC182" s="2" t="str">
        <f>VLOOKUP(A182,Regions!$A$2:$B$233,2)</f>
        <v>Sub-Saharan Africa</v>
      </c>
    </row>
    <row r="183">
      <c r="A183" s="1" t="s">
        <v>120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Q183" s="2" t="str">
        <f t="shared" si="1"/>
        <v/>
      </c>
      <c r="R183" s="2" t="str">
        <f t="shared" si="2"/>
        <v/>
      </c>
      <c r="S183" s="2" t="str">
        <f t="shared" si="3"/>
        <v/>
      </c>
      <c r="T183" s="2" t="str">
        <f t="shared" si="4"/>
        <v/>
      </c>
      <c r="U183" s="2">
        <f t="shared" si="5"/>
        <v>59</v>
      </c>
      <c r="V183" s="2">
        <f t="shared" si="6"/>
        <v>50</v>
      </c>
      <c r="W183" s="2">
        <f t="shared" si="7"/>
        <v>71</v>
      </c>
      <c r="X183" s="2" t="str">
        <f t="shared" si="8"/>
        <v/>
      </c>
      <c r="Y183" s="2" t="str">
        <f t="shared" si="9"/>
        <v/>
      </c>
      <c r="Z183" s="2" t="str">
        <f t="shared" si="10"/>
        <v/>
      </c>
      <c r="AA183" s="2">
        <f t="shared" si="11"/>
        <v>0</v>
      </c>
      <c r="AB183" s="2">
        <f t="shared" si="12"/>
        <v>0</v>
      </c>
      <c r="AC183" s="2" t="str">
        <f>VLOOKUP(A183,Regions!$A$2:$B$233,2)</f>
        <v>Sub-Saharan Africa</v>
      </c>
    </row>
    <row r="184">
      <c r="A184" s="1" t="s">
        <v>121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2">
        <f t="shared" si="1"/>
        <v>5</v>
      </c>
      <c r="R184" s="2">
        <f t="shared" si="2"/>
        <v>0.07858998</v>
      </c>
      <c r="S184" s="2">
        <f t="shared" si="3"/>
        <v>0.101144158</v>
      </c>
      <c r="T184" s="2">
        <f t="shared" si="4"/>
        <v>0</v>
      </c>
      <c r="U184" s="2">
        <f t="shared" si="5"/>
        <v>95</v>
      </c>
      <c r="V184" s="2">
        <f t="shared" si="6"/>
        <v>93</v>
      </c>
      <c r="W184" s="2">
        <f t="shared" si="7"/>
        <v>100</v>
      </c>
      <c r="X184" s="2" t="str">
        <f t="shared" si="8"/>
        <v/>
      </c>
      <c r="Y184" s="2" t="str">
        <f t="shared" si="9"/>
        <v/>
      </c>
      <c r="Z184" s="2" t="str">
        <f t="shared" si="10"/>
        <v>full access</v>
      </c>
      <c r="AA184" s="2">
        <f t="shared" si="11"/>
        <v>0.101144158</v>
      </c>
      <c r="AB184" s="2">
        <f t="shared" si="12"/>
        <v>0.101144158</v>
      </c>
      <c r="AC184" s="2" t="str">
        <f>VLOOKUP(A184,Regions!$A$2:$B$233,2)</f>
        <v>Latin America &amp; Caribbean</v>
      </c>
    </row>
    <row r="185">
      <c r="A185" s="1" t="s">
        <v>121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Q185" s="2" t="str">
        <f t="shared" si="1"/>
        <v/>
      </c>
      <c r="R185" s="2" t="str">
        <f t="shared" si="2"/>
        <v/>
      </c>
      <c r="S185" s="2" t="str">
        <f t="shared" si="3"/>
        <v/>
      </c>
      <c r="T185" s="2" t="str">
        <f t="shared" si="4"/>
        <v/>
      </c>
      <c r="U185" s="2">
        <f t="shared" si="5"/>
        <v>96</v>
      </c>
      <c r="V185" s="2">
        <f t="shared" si="6"/>
        <v>94</v>
      </c>
      <c r="W185" s="2">
        <f t="shared" si="7"/>
        <v>100</v>
      </c>
      <c r="X185" s="2" t="str">
        <f t="shared" si="8"/>
        <v/>
      </c>
      <c r="Y185" s="2" t="str">
        <f t="shared" si="9"/>
        <v/>
      </c>
      <c r="Z185" s="2" t="str">
        <f t="shared" si="10"/>
        <v/>
      </c>
      <c r="AA185" s="2">
        <f t="shared" si="11"/>
        <v>0</v>
      </c>
      <c r="AB185" s="2">
        <f t="shared" si="12"/>
        <v>0</v>
      </c>
      <c r="AC185" s="2" t="str">
        <f>VLOOKUP(A185,Regions!$A$2:$B$233,2)</f>
        <v>Latin America &amp; Caribbean</v>
      </c>
    </row>
    <row r="186">
      <c r="A186" s="1" t="s">
        <v>122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2">
        <f t="shared" si="1"/>
        <v>5</v>
      </c>
      <c r="R186" s="2">
        <f t="shared" si="2"/>
        <v>0.425564492</v>
      </c>
      <c r="S186" s="2">
        <f t="shared" si="3"/>
        <v>0.08585641</v>
      </c>
      <c r="T186" s="2">
        <f t="shared" si="4"/>
        <v>-0.009011568</v>
      </c>
      <c r="U186" s="2">
        <f t="shared" si="5"/>
        <v>65</v>
      </c>
      <c r="V186" s="2">
        <f t="shared" si="6"/>
        <v>42</v>
      </c>
      <c r="W186" s="2">
        <f t="shared" si="7"/>
        <v>85</v>
      </c>
      <c r="X186" s="2" t="str">
        <f t="shared" si="8"/>
        <v/>
      </c>
      <c r="Y186" s="2" t="str">
        <f t="shared" si="9"/>
        <v/>
      </c>
      <c r="Z186" s="2" t="str">
        <f t="shared" si="10"/>
        <v/>
      </c>
      <c r="AA186" s="2">
        <f t="shared" si="11"/>
        <v>0.094867978</v>
      </c>
      <c r="AB186" s="2">
        <f t="shared" si="12"/>
        <v>0.094867978</v>
      </c>
      <c r="AC186" s="2" t="str">
        <f>VLOOKUP(A186,Regions!$A$2:$B$233,2)</f>
        <v>Sub-Saharan Africa</v>
      </c>
    </row>
    <row r="187">
      <c r="A187" s="1" t="s">
        <v>122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Q187" s="2" t="str">
        <f t="shared" si="1"/>
        <v/>
      </c>
      <c r="R187" s="2" t="str">
        <f t="shared" si="2"/>
        <v/>
      </c>
      <c r="S187" s="2" t="str">
        <f t="shared" si="3"/>
        <v/>
      </c>
      <c r="T187" s="2" t="str">
        <f t="shared" si="4"/>
        <v/>
      </c>
      <c r="U187" s="2">
        <f t="shared" si="5"/>
        <v>67</v>
      </c>
      <c r="V187" s="2">
        <f t="shared" si="6"/>
        <v>43</v>
      </c>
      <c r="W187" s="2">
        <f t="shared" si="7"/>
        <v>85</v>
      </c>
      <c r="X187" s="2" t="str">
        <f t="shared" si="8"/>
        <v/>
      </c>
      <c r="Y187" s="2" t="str">
        <f t="shared" si="9"/>
        <v/>
      </c>
      <c r="Z187" s="2" t="str">
        <f t="shared" si="10"/>
        <v/>
      </c>
      <c r="AA187" s="2">
        <f t="shared" si="11"/>
        <v>0</v>
      </c>
      <c r="AB187" s="2">
        <f t="shared" si="12"/>
        <v>0</v>
      </c>
      <c r="AC187" s="2" t="str">
        <f>VLOOKUP(A187,Regions!$A$2:$B$233,2)</f>
        <v>Sub-Saharan Africa</v>
      </c>
    </row>
    <row r="188">
      <c r="A188" s="1" t="s">
        <v>123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2">
        <f t="shared" si="1"/>
        <v>5</v>
      </c>
      <c r="R188" s="2">
        <f t="shared" si="2"/>
        <v>0.486962084</v>
      </c>
      <c r="S188" s="2">
        <f t="shared" si="3"/>
        <v>0.68774516</v>
      </c>
      <c r="T188" s="2">
        <f t="shared" si="4"/>
        <v>0.208424026</v>
      </c>
      <c r="U188" s="2">
        <f t="shared" si="5"/>
        <v>93</v>
      </c>
      <c r="V188" s="2">
        <f t="shared" si="6"/>
        <v>86</v>
      </c>
      <c r="W188" s="2">
        <f t="shared" si="7"/>
        <v>99</v>
      </c>
      <c r="X188" s="2" t="str">
        <f t="shared" si="8"/>
        <v/>
      </c>
      <c r="Y188" s="2" t="str">
        <f t="shared" si="9"/>
        <v/>
      </c>
      <c r="Z188" s="2" t="str">
        <f t="shared" si="10"/>
        <v/>
      </c>
      <c r="AA188" s="2">
        <f t="shared" si="11"/>
        <v>0.479321134</v>
      </c>
      <c r="AB188" s="2">
        <f t="shared" si="12"/>
        <v>0.479321134</v>
      </c>
      <c r="AC188" s="2" t="str">
        <f>VLOOKUP(A188,Regions!$A$2:$B$233,2)</f>
        <v>Latin America &amp; Caribbean</v>
      </c>
    </row>
    <row r="189">
      <c r="A189" s="1" t="s">
        <v>123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Q189" s="2" t="str">
        <f t="shared" si="1"/>
        <v/>
      </c>
      <c r="R189" s="2" t="str">
        <f t="shared" si="2"/>
        <v/>
      </c>
      <c r="S189" s="2" t="str">
        <f t="shared" si="3"/>
        <v/>
      </c>
      <c r="T189" s="2" t="str">
        <f t="shared" si="4"/>
        <v/>
      </c>
      <c r="U189" s="2">
        <f t="shared" si="5"/>
        <v>96</v>
      </c>
      <c r="V189" s="2">
        <f t="shared" si="6"/>
        <v>90</v>
      </c>
      <c r="W189" s="2">
        <f t="shared" si="7"/>
        <v>100</v>
      </c>
      <c r="X189" s="2" t="str">
        <f t="shared" si="8"/>
        <v/>
      </c>
      <c r="Y189" s="2" t="str">
        <f t="shared" si="9"/>
        <v/>
      </c>
      <c r="Z189" s="2" t="str">
        <f t="shared" si="10"/>
        <v/>
      </c>
      <c r="AA189" s="2">
        <f t="shared" si="11"/>
        <v>0</v>
      </c>
      <c r="AB189" s="2">
        <f t="shared" si="12"/>
        <v>0</v>
      </c>
      <c r="AC189" s="2" t="str">
        <f>VLOOKUP(A189,Regions!$A$2:$B$233,2)</f>
        <v>Latin America &amp; Caribbean</v>
      </c>
    </row>
    <row r="190">
      <c r="A190" s="1" t="s">
        <v>124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2">
        <f t="shared" si="1"/>
        <v>5</v>
      </c>
      <c r="R190" s="2">
        <f t="shared" si="2"/>
        <v>0.005893702</v>
      </c>
      <c r="S190" s="2">
        <f t="shared" si="3"/>
        <v>0.019982056</v>
      </c>
      <c r="T190" s="2">
        <f t="shared" si="4"/>
        <v>0</v>
      </c>
      <c r="U190" s="2">
        <f t="shared" si="5"/>
        <v>100</v>
      </c>
      <c r="V190" s="2">
        <f t="shared" si="6"/>
        <v>100</v>
      </c>
      <c r="W190" s="2">
        <f t="shared" si="7"/>
        <v>100</v>
      </c>
      <c r="X190" s="2" t="str">
        <f t="shared" si="8"/>
        <v>full access</v>
      </c>
      <c r="Y190" s="2" t="str">
        <f t="shared" si="9"/>
        <v>full access</v>
      </c>
      <c r="Z190" s="2" t="str">
        <f t="shared" si="10"/>
        <v>full access</v>
      </c>
      <c r="AA190" s="2">
        <f t="shared" si="11"/>
        <v>0.019982056</v>
      </c>
      <c r="AB190" s="2">
        <f t="shared" si="12"/>
        <v>0.019982056</v>
      </c>
      <c r="AC190" s="2" t="str">
        <f>VLOOKUP(A190,Regions!$A$2:$B$233,2)</f>
        <v>Europe &amp; Central Asia</v>
      </c>
    </row>
    <row r="191">
      <c r="A191" s="1" t="s">
        <v>124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Q191" s="2" t="str">
        <f t="shared" si="1"/>
        <v/>
      </c>
      <c r="R191" s="2" t="str">
        <f t="shared" si="2"/>
        <v/>
      </c>
      <c r="S191" s="2" t="str">
        <f t="shared" si="3"/>
        <v/>
      </c>
      <c r="T191" s="2" t="str">
        <f t="shared" si="4"/>
        <v/>
      </c>
      <c r="U191" s="2">
        <f t="shared" si="5"/>
        <v>100</v>
      </c>
      <c r="V191" s="2">
        <f t="shared" si="6"/>
        <v>100</v>
      </c>
      <c r="W191" s="2">
        <f t="shared" si="7"/>
        <v>100</v>
      </c>
      <c r="X191" s="2" t="str">
        <f t="shared" si="8"/>
        <v/>
      </c>
      <c r="Y191" s="2" t="str">
        <f t="shared" si="9"/>
        <v/>
      </c>
      <c r="Z191" s="2" t="str">
        <f t="shared" si="10"/>
        <v/>
      </c>
      <c r="AA191" s="2">
        <f t="shared" si="11"/>
        <v>0</v>
      </c>
      <c r="AB191" s="2">
        <f t="shared" si="12"/>
        <v>0</v>
      </c>
      <c r="AC191" s="2" t="str">
        <f>VLOOKUP(A191,Regions!$A$2:$B$233,2)</f>
        <v>Europe &amp; Central Asia</v>
      </c>
    </row>
    <row r="192">
      <c r="A192" s="1" t="s">
        <v>125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2">
        <f t="shared" si="1"/>
        <v>5</v>
      </c>
      <c r="R192" s="2">
        <f t="shared" si="2"/>
        <v>-0.000001018</v>
      </c>
      <c r="S192" s="2">
        <f t="shared" si="3"/>
        <v>0</v>
      </c>
      <c r="T192" s="2">
        <f t="shared" si="4"/>
        <v>0</v>
      </c>
      <c r="U192" s="2">
        <f t="shared" si="5"/>
        <v>100</v>
      </c>
      <c r="V192" s="2">
        <f t="shared" si="6"/>
        <v>100</v>
      </c>
      <c r="W192" s="2">
        <f t="shared" si="7"/>
        <v>100</v>
      </c>
      <c r="X192" s="2" t="str">
        <f t="shared" si="8"/>
        <v>full access</v>
      </c>
      <c r="Y192" s="2" t="str">
        <f t="shared" si="9"/>
        <v>full access</v>
      </c>
      <c r="Z192" s="2" t="str">
        <f t="shared" si="10"/>
        <v>full access</v>
      </c>
      <c r="AA192" s="2">
        <f t="shared" si="11"/>
        <v>0</v>
      </c>
      <c r="AB192" s="2">
        <f t="shared" si="12"/>
        <v>0</v>
      </c>
      <c r="AC192" s="2" t="str">
        <f>VLOOKUP(A192,Regions!$A$2:$B$233,2)</f>
        <v>Europe &amp; Central Asia</v>
      </c>
    </row>
    <row r="193">
      <c r="A193" s="1" t="s">
        <v>125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 t="str">
        <f t="shared" si="1"/>
        <v/>
      </c>
      <c r="R193" s="2" t="str">
        <f t="shared" si="2"/>
        <v/>
      </c>
      <c r="S193" s="2" t="str">
        <f t="shared" si="3"/>
        <v/>
      </c>
      <c r="T193" s="2" t="str">
        <f t="shared" si="4"/>
        <v/>
      </c>
      <c r="U193" s="2">
        <f t="shared" si="5"/>
        <v>100</v>
      </c>
      <c r="V193" s="2">
        <f t="shared" si="6"/>
        <v>100</v>
      </c>
      <c r="W193" s="2">
        <f t="shared" si="7"/>
        <v>100</v>
      </c>
      <c r="X193" s="2" t="str">
        <f t="shared" si="8"/>
        <v/>
      </c>
      <c r="Y193" s="2" t="str">
        <f t="shared" si="9"/>
        <v/>
      </c>
      <c r="Z193" s="2" t="str">
        <f t="shared" si="10"/>
        <v/>
      </c>
      <c r="AA193" s="2">
        <f t="shared" si="11"/>
        <v>0</v>
      </c>
      <c r="AB193" s="2">
        <f t="shared" si="12"/>
        <v>0</v>
      </c>
      <c r="AC193" s="2" t="str">
        <f>VLOOKUP(A193,Regions!$A$2:$B$233,2)</f>
        <v>Europe &amp; Central Asia</v>
      </c>
    </row>
    <row r="194">
      <c r="A194" s="1" t="s">
        <v>126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2">
        <f t="shared" si="1"/>
        <v>5</v>
      </c>
      <c r="R194" s="2">
        <f t="shared" si="2"/>
        <v>0.47027848</v>
      </c>
      <c r="S194" s="2">
        <f t="shared" si="3"/>
        <v>0.642100556</v>
      </c>
      <c r="T194" s="2">
        <f t="shared" si="4"/>
        <v>0.053794338</v>
      </c>
      <c r="U194" s="2">
        <f t="shared" si="5"/>
        <v>88</v>
      </c>
      <c r="V194" s="2">
        <f t="shared" si="6"/>
        <v>86</v>
      </c>
      <c r="W194" s="2">
        <f t="shared" si="7"/>
        <v>93</v>
      </c>
      <c r="X194" s="2" t="str">
        <f t="shared" si="8"/>
        <v/>
      </c>
      <c r="Y194" s="2" t="str">
        <f t="shared" si="9"/>
        <v/>
      </c>
      <c r="Z194" s="2" t="str">
        <f t="shared" si="10"/>
        <v/>
      </c>
      <c r="AA194" s="2">
        <f t="shared" si="11"/>
        <v>0.588306218</v>
      </c>
      <c r="AB194" s="2">
        <f t="shared" si="12"/>
        <v>0.588306218</v>
      </c>
      <c r="AC194" s="2" t="str">
        <f>VLOOKUP(A194,Regions!$A$2:$B$233,2)</f>
        <v>South Asia</v>
      </c>
    </row>
    <row r="195">
      <c r="A195" s="1" t="s">
        <v>126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Q195" s="2" t="str">
        <f t="shared" si="1"/>
        <v/>
      </c>
      <c r="R195" s="2" t="str">
        <f t="shared" si="2"/>
        <v/>
      </c>
      <c r="S195" s="2" t="str">
        <f t="shared" si="3"/>
        <v/>
      </c>
      <c r="T195" s="2" t="str">
        <f t="shared" si="4"/>
        <v/>
      </c>
      <c r="U195" s="2">
        <f t="shared" si="5"/>
        <v>90</v>
      </c>
      <c r="V195" s="2">
        <f t="shared" si="6"/>
        <v>89</v>
      </c>
      <c r="W195" s="2">
        <f t="shared" si="7"/>
        <v>94</v>
      </c>
      <c r="X195" s="2" t="str">
        <f t="shared" si="8"/>
        <v/>
      </c>
      <c r="Y195" s="2" t="str">
        <f t="shared" si="9"/>
        <v/>
      </c>
      <c r="Z195" s="2" t="str">
        <f t="shared" si="10"/>
        <v/>
      </c>
      <c r="AA195" s="2">
        <f t="shared" si="11"/>
        <v>0</v>
      </c>
      <c r="AB195" s="2">
        <f t="shared" si="12"/>
        <v>0</v>
      </c>
      <c r="AC195" s="2" t="str">
        <f>VLOOKUP(A195,Regions!$A$2:$B$233,2)</f>
        <v>South Asia</v>
      </c>
    </row>
    <row r="196">
      <c r="A196" s="1" t="s">
        <v>127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2">
        <f t="shared" si="1"/>
        <v>5</v>
      </c>
      <c r="R196" s="2">
        <f t="shared" si="2"/>
        <v>0.77759933</v>
      </c>
      <c r="S196" s="2">
        <f t="shared" si="3"/>
        <v>1.007434238</v>
      </c>
      <c r="T196" s="2">
        <f t="shared" si="4"/>
        <v>0.427604062</v>
      </c>
      <c r="U196" s="2">
        <f t="shared" si="5"/>
        <v>89</v>
      </c>
      <c r="V196" s="2">
        <f t="shared" si="6"/>
        <v>81</v>
      </c>
      <c r="W196" s="2">
        <f t="shared" si="7"/>
        <v>95</v>
      </c>
      <c r="X196" s="2" t="str">
        <f t="shared" si="8"/>
        <v/>
      </c>
      <c r="Y196" s="2" t="str">
        <f t="shared" si="9"/>
        <v/>
      </c>
      <c r="Z196" s="2" t="str">
        <f t="shared" si="10"/>
        <v/>
      </c>
      <c r="AA196" s="2">
        <f t="shared" si="11"/>
        <v>0.579830176</v>
      </c>
      <c r="AB196" s="2">
        <f t="shared" si="12"/>
        <v>0.579830176</v>
      </c>
      <c r="AC196" s="2" t="str">
        <f>VLOOKUP(A196,Regions!$A$2:$B$233,2)</f>
        <v>East Asia &amp; Pacific</v>
      </c>
    </row>
    <row r="197">
      <c r="A197" s="1" t="s">
        <v>127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Q197" s="2" t="str">
        <f t="shared" si="1"/>
        <v/>
      </c>
      <c r="R197" s="2" t="str">
        <f t="shared" si="2"/>
        <v/>
      </c>
      <c r="S197" s="2" t="str">
        <f t="shared" si="3"/>
        <v/>
      </c>
      <c r="T197" s="2" t="str">
        <f t="shared" si="4"/>
        <v/>
      </c>
      <c r="U197" s="2">
        <f t="shared" si="5"/>
        <v>92</v>
      </c>
      <c r="V197" s="2">
        <f t="shared" si="6"/>
        <v>86</v>
      </c>
      <c r="W197" s="2">
        <f t="shared" si="7"/>
        <v>98</v>
      </c>
      <c r="X197" s="2" t="str">
        <f t="shared" si="8"/>
        <v/>
      </c>
      <c r="Y197" s="2" t="str">
        <f t="shared" si="9"/>
        <v/>
      </c>
      <c r="Z197" s="2" t="str">
        <f t="shared" si="10"/>
        <v/>
      </c>
      <c r="AA197" s="2">
        <f t="shared" si="11"/>
        <v>0</v>
      </c>
      <c r="AB197" s="2">
        <f t="shared" si="12"/>
        <v>0</v>
      </c>
      <c r="AC197" s="2" t="str">
        <f>VLOOKUP(A197,Regions!$A$2:$B$233,2)</f>
        <v>East Asia &amp; Pacific</v>
      </c>
    </row>
    <row r="198">
      <c r="A198" s="1" t="s">
        <v>128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2">
        <f t="shared" si="1"/>
        <v>5</v>
      </c>
      <c r="R198" s="2">
        <f t="shared" si="2"/>
        <v>0.13512985</v>
      </c>
      <c r="S198" s="2">
        <f t="shared" si="3"/>
        <v>0.333246546</v>
      </c>
      <c r="T198" s="2">
        <f t="shared" si="4"/>
        <v>0.03014517</v>
      </c>
      <c r="U198" s="2">
        <f t="shared" si="5"/>
        <v>97</v>
      </c>
      <c r="V198" s="2">
        <f t="shared" si="6"/>
        <v>92</v>
      </c>
      <c r="W198" s="2">
        <f t="shared" si="7"/>
        <v>98</v>
      </c>
      <c r="X198" s="2" t="str">
        <f t="shared" si="8"/>
        <v/>
      </c>
      <c r="Y198" s="2" t="str">
        <f t="shared" si="9"/>
        <v/>
      </c>
      <c r="Z198" s="2" t="str">
        <f t="shared" si="10"/>
        <v/>
      </c>
      <c r="AA198" s="2">
        <f t="shared" si="11"/>
        <v>0.303101376</v>
      </c>
      <c r="AB198" s="2">
        <f t="shared" si="12"/>
        <v>0.303101376</v>
      </c>
      <c r="AC198" s="2" t="str">
        <f>VLOOKUP(A198,Regions!$A$2:$B$233,2)</f>
        <v>South Asia</v>
      </c>
    </row>
    <row r="199">
      <c r="A199" s="1" t="s">
        <v>128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Q199" s="2" t="str">
        <f t="shared" si="1"/>
        <v/>
      </c>
      <c r="R199" s="2" t="str">
        <f t="shared" si="2"/>
        <v/>
      </c>
      <c r="S199" s="2" t="str">
        <f t="shared" si="3"/>
        <v/>
      </c>
      <c r="T199" s="2" t="str">
        <f t="shared" si="4"/>
        <v/>
      </c>
      <c r="U199" s="2">
        <f t="shared" si="5"/>
        <v>97</v>
      </c>
      <c r="V199" s="2">
        <f t="shared" si="6"/>
        <v>94</v>
      </c>
      <c r="W199" s="2">
        <f t="shared" si="7"/>
        <v>99</v>
      </c>
      <c r="X199" s="2" t="str">
        <f t="shared" si="8"/>
        <v/>
      </c>
      <c r="Y199" s="2" t="str">
        <f t="shared" si="9"/>
        <v/>
      </c>
      <c r="Z199" s="2" t="str">
        <f t="shared" si="10"/>
        <v/>
      </c>
      <c r="AA199" s="2">
        <f t="shared" si="11"/>
        <v>0</v>
      </c>
      <c r="AB199" s="2">
        <f t="shared" si="12"/>
        <v>0</v>
      </c>
      <c r="AC199" s="2" t="str">
        <f>VLOOKUP(A199,Regions!$A$2:$B$233,2)</f>
        <v>South Asia</v>
      </c>
    </row>
    <row r="200">
      <c r="A200" s="1" t="s">
        <v>129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2">
        <f t="shared" si="1"/>
        <v>5</v>
      </c>
      <c r="R200" s="2">
        <f t="shared" si="2"/>
        <v>0.82246199</v>
      </c>
      <c r="S200" s="2">
        <f t="shared" si="3"/>
        <v>2.013687334</v>
      </c>
      <c r="T200" s="2">
        <f t="shared" si="4"/>
        <v>0.296175686</v>
      </c>
      <c r="U200" s="2">
        <f t="shared" si="5"/>
        <v>94</v>
      </c>
      <c r="V200" s="2">
        <f t="shared" si="6"/>
        <v>85</v>
      </c>
      <c r="W200" s="2">
        <f t="shared" si="7"/>
        <v>98</v>
      </c>
      <c r="X200" s="2" t="str">
        <f t="shared" si="8"/>
        <v/>
      </c>
      <c r="Y200" s="2" t="str">
        <f t="shared" si="9"/>
        <v/>
      </c>
      <c r="Z200" s="2" t="str">
        <f t="shared" si="10"/>
        <v/>
      </c>
      <c r="AA200" s="2">
        <f t="shared" si="11"/>
        <v>1.717511648</v>
      </c>
      <c r="AB200" s="2">
        <f t="shared" si="12"/>
        <v>1.717511648</v>
      </c>
      <c r="AC200" s="2" t="str">
        <f>VLOOKUP(A200,Regions!$A$2:$B$233,2)</f>
        <v>Middle East &amp; North Africa</v>
      </c>
    </row>
    <row r="201">
      <c r="A201" s="1" t="s">
        <v>129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Q201" s="2" t="str">
        <f t="shared" si="1"/>
        <v/>
      </c>
      <c r="R201" s="2" t="str">
        <f t="shared" si="2"/>
        <v/>
      </c>
      <c r="S201" s="2" t="str">
        <f t="shared" si="3"/>
        <v/>
      </c>
      <c r="T201" s="2" t="str">
        <f t="shared" si="4"/>
        <v/>
      </c>
      <c r="U201" s="2">
        <f t="shared" si="5"/>
        <v>98</v>
      </c>
      <c r="V201" s="2">
        <f t="shared" si="6"/>
        <v>95</v>
      </c>
      <c r="W201" s="2">
        <f t="shared" si="7"/>
        <v>100</v>
      </c>
      <c r="X201" s="2" t="str">
        <f t="shared" si="8"/>
        <v/>
      </c>
      <c r="Y201" s="2" t="str">
        <f t="shared" si="9"/>
        <v/>
      </c>
      <c r="Z201" s="2" t="str">
        <f t="shared" si="10"/>
        <v/>
      </c>
      <c r="AA201" s="2">
        <f t="shared" si="11"/>
        <v>0</v>
      </c>
      <c r="AB201" s="2">
        <f t="shared" si="12"/>
        <v>0</v>
      </c>
      <c r="AC201" s="2" t="str">
        <f>VLOOKUP(A201,Regions!$A$2:$B$233,2)</f>
        <v>Middle East &amp; North Africa</v>
      </c>
    </row>
    <row r="202">
      <c r="A202" s="1" t="s">
        <v>130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2">
        <f t="shared" si="1"/>
        <v>5</v>
      </c>
      <c r="R202" s="2">
        <f t="shared" si="2"/>
        <v>0.005515704</v>
      </c>
      <c r="S202" s="2">
        <f t="shared" si="3"/>
        <v>0.023620912</v>
      </c>
      <c r="T202" s="2">
        <f t="shared" si="4"/>
        <v>-0.001211156</v>
      </c>
      <c r="U202" s="2">
        <f t="shared" si="5"/>
        <v>97</v>
      </c>
      <c r="V202" s="2">
        <f t="shared" si="6"/>
        <v>98</v>
      </c>
      <c r="W202" s="2">
        <f t="shared" si="7"/>
        <v>97</v>
      </c>
      <c r="X202" s="2" t="str">
        <f t="shared" si="8"/>
        <v/>
      </c>
      <c r="Y202" s="2" t="str">
        <f t="shared" si="9"/>
        <v/>
      </c>
      <c r="Z202" s="2" t="str">
        <f t="shared" si="10"/>
        <v/>
      </c>
      <c r="AA202" s="2">
        <f t="shared" si="11"/>
        <v>0.024832068</v>
      </c>
      <c r="AB202" s="2">
        <f t="shared" si="12"/>
        <v>0.024832068</v>
      </c>
      <c r="AC202" s="2" t="str">
        <f>VLOOKUP(A202,Regions!$A$2:$B$233,2)</f>
        <v>Europe &amp; Central Asia</v>
      </c>
    </row>
    <row r="203">
      <c r="A203" s="1" t="s">
        <v>130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Q203" s="2" t="str">
        <f t="shared" si="1"/>
        <v/>
      </c>
      <c r="R203" s="2" t="str">
        <f t="shared" si="2"/>
        <v/>
      </c>
      <c r="S203" s="2" t="str">
        <f t="shared" si="3"/>
        <v/>
      </c>
      <c r="T203" s="2" t="str">
        <f t="shared" si="4"/>
        <v/>
      </c>
      <c r="U203" s="2">
        <f t="shared" si="5"/>
        <v>97</v>
      </c>
      <c r="V203" s="2">
        <f t="shared" si="6"/>
        <v>98</v>
      </c>
      <c r="W203" s="2">
        <f t="shared" si="7"/>
        <v>97</v>
      </c>
      <c r="X203" s="2" t="str">
        <f t="shared" si="8"/>
        <v/>
      </c>
      <c r="Y203" s="2" t="str">
        <f t="shared" si="9"/>
        <v/>
      </c>
      <c r="Z203" s="2" t="str">
        <f t="shared" si="10"/>
        <v/>
      </c>
      <c r="AA203" s="2">
        <f t="shared" si="11"/>
        <v>0</v>
      </c>
      <c r="AB203" s="2">
        <f t="shared" si="12"/>
        <v>0</v>
      </c>
      <c r="AC203" s="2" t="str">
        <f>VLOOKUP(A203,Regions!$A$2:$B$233,2)</f>
        <v>Europe &amp; Central Asia</v>
      </c>
    </row>
    <row r="204">
      <c r="A204" s="1" t="s">
        <v>131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2">
        <f t="shared" si="1"/>
        <v>5</v>
      </c>
      <c r="R204" s="2">
        <f t="shared" si="2"/>
        <v>0</v>
      </c>
      <c r="S204" s="2" t="str">
        <f t="shared" si="3"/>
        <v>null</v>
      </c>
      <c r="T204" s="2" t="str">
        <f t="shared" si="4"/>
        <v>null</v>
      </c>
      <c r="U204" s="2">
        <f t="shared" si="5"/>
        <v>99</v>
      </c>
      <c r="V204" s="2" t="str">
        <f t="shared" si="6"/>
        <v>null</v>
      </c>
      <c r="W204" s="2" t="str">
        <f t="shared" si="7"/>
        <v>null</v>
      </c>
      <c r="X204" s="2" t="str">
        <f t="shared" si="8"/>
        <v/>
      </c>
      <c r="Y204" s="2" t="str">
        <f t="shared" si="9"/>
        <v/>
      </c>
      <c r="Z204" s="2" t="str">
        <f t="shared" si="10"/>
        <v/>
      </c>
      <c r="AA204" s="2" t="str">
        <f t="shared" si="11"/>
        <v>null</v>
      </c>
      <c r="AB204" s="2" t="str">
        <f t="shared" si="12"/>
        <v>null</v>
      </c>
      <c r="AC204" s="2" t="str">
        <f>VLOOKUP(A204,Regions!$A$2:$B$233,2)</f>
        <v>Europe &amp; Central Asia</v>
      </c>
    </row>
    <row r="205">
      <c r="A205" s="1" t="s">
        <v>131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2" t="str">
        <f t="shared" si="1"/>
        <v/>
      </c>
      <c r="R205" s="2" t="str">
        <f t="shared" si="2"/>
        <v/>
      </c>
      <c r="S205" s="2" t="str">
        <f t="shared" si="3"/>
        <v/>
      </c>
      <c r="T205" s="2" t="str">
        <f t="shared" si="4"/>
        <v/>
      </c>
      <c r="U205" s="2">
        <f t="shared" si="5"/>
        <v>99</v>
      </c>
      <c r="V205" s="2" t="str">
        <f t="shared" si="6"/>
        <v>null</v>
      </c>
      <c r="W205" s="2" t="str">
        <f t="shared" si="7"/>
        <v>null</v>
      </c>
      <c r="X205" s="2" t="str">
        <f t="shared" si="8"/>
        <v/>
      </c>
      <c r="Y205" s="2" t="str">
        <f t="shared" si="9"/>
        <v/>
      </c>
      <c r="Z205" s="2" t="str">
        <f t="shared" si="10"/>
        <v/>
      </c>
      <c r="AA205" s="2">
        <f t="shared" si="11"/>
        <v>0</v>
      </c>
      <c r="AB205" s="2">
        <f t="shared" si="12"/>
        <v>0</v>
      </c>
      <c r="AC205" s="2" t="str">
        <f>VLOOKUP(A205,Regions!$A$2:$B$233,2)</f>
        <v>Europe &amp; Central Asia</v>
      </c>
    </row>
    <row r="206">
      <c r="A206" s="1" t="s">
        <v>132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2">
        <f t="shared" si="1"/>
        <v>5</v>
      </c>
      <c r="R206" s="2">
        <f t="shared" si="2"/>
        <v>-0.0000002999999992</v>
      </c>
      <c r="S206" s="2">
        <f t="shared" si="3"/>
        <v>0</v>
      </c>
      <c r="T206" s="2">
        <f t="shared" si="4"/>
        <v>0</v>
      </c>
      <c r="U206" s="2">
        <f t="shared" si="5"/>
        <v>100</v>
      </c>
      <c r="V206" s="2">
        <f t="shared" si="6"/>
        <v>100</v>
      </c>
      <c r="W206" s="2">
        <f t="shared" si="7"/>
        <v>100</v>
      </c>
      <c r="X206" s="2" t="str">
        <f t="shared" si="8"/>
        <v>full access</v>
      </c>
      <c r="Y206" s="2" t="str">
        <f t="shared" si="9"/>
        <v>full access</v>
      </c>
      <c r="Z206" s="2" t="str">
        <f t="shared" si="10"/>
        <v>full access</v>
      </c>
      <c r="AA206" s="2">
        <f t="shared" si="11"/>
        <v>0</v>
      </c>
      <c r="AB206" s="2">
        <f t="shared" si="12"/>
        <v>0</v>
      </c>
      <c r="AC206" s="2" t="str">
        <f>VLOOKUP(A206,Regions!$A$2:$B$233,2)</f>
        <v>Europe &amp; Central Asia</v>
      </c>
    </row>
    <row r="207">
      <c r="A207" s="1" t="s">
        <v>132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Q207" s="2" t="str">
        <f t="shared" si="1"/>
        <v/>
      </c>
      <c r="R207" s="2" t="str">
        <f t="shared" si="2"/>
        <v/>
      </c>
      <c r="S207" s="2" t="str">
        <f t="shared" si="3"/>
        <v/>
      </c>
      <c r="T207" s="2" t="str">
        <f t="shared" si="4"/>
        <v/>
      </c>
      <c r="U207" s="2">
        <f t="shared" si="5"/>
        <v>100</v>
      </c>
      <c r="V207" s="2">
        <f t="shared" si="6"/>
        <v>100</v>
      </c>
      <c r="W207" s="2">
        <f t="shared" si="7"/>
        <v>100</v>
      </c>
      <c r="X207" s="2" t="str">
        <f t="shared" si="8"/>
        <v/>
      </c>
      <c r="Y207" s="2" t="str">
        <f t="shared" si="9"/>
        <v/>
      </c>
      <c r="Z207" s="2" t="str">
        <f t="shared" si="10"/>
        <v/>
      </c>
      <c r="AA207" s="2">
        <f t="shared" si="11"/>
        <v>0</v>
      </c>
      <c r="AB207" s="2">
        <f t="shared" si="12"/>
        <v>0</v>
      </c>
      <c r="AC207" s="2" t="str">
        <f>VLOOKUP(A207,Regions!$A$2:$B$233,2)</f>
        <v>Europe &amp; Central Asia</v>
      </c>
    </row>
    <row r="208">
      <c r="A208" s="1" t="s">
        <v>133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2">
        <f t="shared" si="1"/>
        <v>5</v>
      </c>
      <c r="R208" s="2">
        <f t="shared" si="2"/>
        <v>0</v>
      </c>
      <c r="S208" s="2" t="str">
        <f t="shared" si="3"/>
        <v>null</v>
      </c>
      <c r="T208" s="2" t="str">
        <f t="shared" si="4"/>
        <v>null</v>
      </c>
      <c r="U208" s="2">
        <f t="shared" si="5"/>
        <v>100</v>
      </c>
      <c r="V208" s="2" t="str">
        <f t="shared" si="6"/>
        <v>null</v>
      </c>
      <c r="W208" s="2" t="str">
        <f t="shared" si="7"/>
        <v>null</v>
      </c>
      <c r="X208" s="2" t="str">
        <f t="shared" si="8"/>
        <v>full access</v>
      </c>
      <c r="Y208" s="2" t="str">
        <f t="shared" si="9"/>
        <v/>
      </c>
      <c r="Z208" s="2" t="str">
        <f t="shared" si="10"/>
        <v/>
      </c>
      <c r="AA208" s="2" t="str">
        <f t="shared" si="11"/>
        <v>null</v>
      </c>
      <c r="AB208" s="2" t="str">
        <f t="shared" si="12"/>
        <v>null</v>
      </c>
      <c r="AC208" s="2" t="str">
        <f>VLOOKUP(A208,Regions!$A$2:$B$233,2)</f>
        <v>Europe &amp; Central Asia</v>
      </c>
    </row>
    <row r="209">
      <c r="A209" s="1" t="s">
        <v>133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2" t="str">
        <f t="shared" si="1"/>
        <v/>
      </c>
      <c r="R209" s="2" t="str">
        <f t="shared" si="2"/>
        <v/>
      </c>
      <c r="S209" s="2" t="str">
        <f t="shared" si="3"/>
        <v/>
      </c>
      <c r="T209" s="2" t="str">
        <f t="shared" si="4"/>
        <v/>
      </c>
      <c r="U209" s="2">
        <f t="shared" si="5"/>
        <v>100</v>
      </c>
      <c r="V209" s="2" t="str">
        <f t="shared" si="6"/>
        <v>null</v>
      </c>
      <c r="W209" s="2" t="str">
        <f t="shared" si="7"/>
        <v>null</v>
      </c>
      <c r="X209" s="2" t="str">
        <f t="shared" si="8"/>
        <v/>
      </c>
      <c r="Y209" s="2" t="str">
        <f t="shared" si="9"/>
        <v/>
      </c>
      <c r="Z209" s="2" t="str">
        <f t="shared" si="10"/>
        <v/>
      </c>
      <c r="AA209" s="2">
        <f t="shared" si="11"/>
        <v>0</v>
      </c>
      <c r="AB209" s="2">
        <f t="shared" si="12"/>
        <v>0</v>
      </c>
      <c r="AC209" s="2" t="str">
        <f>VLOOKUP(A209,Regions!$A$2:$B$233,2)</f>
        <v>Europe &amp; Central Asia</v>
      </c>
    </row>
    <row r="210">
      <c r="A210" s="1" t="s">
        <v>134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2">
        <f t="shared" si="1"/>
        <v>5</v>
      </c>
      <c r="R210" s="2">
        <f t="shared" si="2"/>
        <v>0.122629642</v>
      </c>
      <c r="S210" s="2">
        <f t="shared" si="3"/>
        <v>0.179840452</v>
      </c>
      <c r="T210" s="2">
        <f t="shared" si="4"/>
        <v>0.021605134</v>
      </c>
      <c r="U210" s="2">
        <f t="shared" si="5"/>
        <v>90</v>
      </c>
      <c r="V210" s="2">
        <f t="shared" si="6"/>
        <v>85</v>
      </c>
      <c r="W210" s="2">
        <f t="shared" si="7"/>
        <v>95</v>
      </c>
      <c r="X210" s="2" t="str">
        <f t="shared" si="8"/>
        <v/>
      </c>
      <c r="Y210" s="2" t="str">
        <f t="shared" si="9"/>
        <v/>
      </c>
      <c r="Z210" s="2" t="str">
        <f t="shared" si="10"/>
        <v/>
      </c>
      <c r="AA210" s="2">
        <f t="shared" si="11"/>
        <v>0.158235318</v>
      </c>
      <c r="AB210" s="2">
        <f t="shared" si="12"/>
        <v>0.158235318</v>
      </c>
      <c r="AC210" s="2" t="str">
        <f>VLOOKUP(A210,Regions!$A$2:$B$233,2)</f>
        <v>Latin America &amp; Caribbean</v>
      </c>
    </row>
    <row r="211">
      <c r="A211" s="1" t="s">
        <v>134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Q211" s="2" t="str">
        <f t="shared" si="1"/>
        <v/>
      </c>
      <c r="R211" s="2" t="str">
        <f t="shared" si="2"/>
        <v/>
      </c>
      <c r="S211" s="2" t="str">
        <f t="shared" si="3"/>
        <v/>
      </c>
      <c r="T211" s="2" t="str">
        <f t="shared" si="4"/>
        <v/>
      </c>
      <c r="U211" s="2">
        <f t="shared" si="5"/>
        <v>91</v>
      </c>
      <c r="V211" s="2">
        <f t="shared" si="6"/>
        <v>85</v>
      </c>
      <c r="W211" s="2">
        <f t="shared" si="7"/>
        <v>95</v>
      </c>
      <c r="X211" s="2" t="str">
        <f t="shared" si="8"/>
        <v/>
      </c>
      <c r="Y211" s="2" t="str">
        <f t="shared" si="9"/>
        <v/>
      </c>
      <c r="Z211" s="2" t="str">
        <f t="shared" si="10"/>
        <v/>
      </c>
      <c r="AA211" s="2">
        <f t="shared" si="11"/>
        <v>0</v>
      </c>
      <c r="AB211" s="2">
        <f t="shared" si="12"/>
        <v>0</v>
      </c>
      <c r="AC211" s="2" t="str">
        <f>VLOOKUP(A211,Regions!$A$2:$B$233,2)</f>
        <v>Latin America &amp; Caribbean</v>
      </c>
    </row>
    <row r="212">
      <c r="A212" s="1" t="s">
        <v>135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2">
        <f t="shared" si="1"/>
        <v>5</v>
      </c>
      <c r="R212" s="2">
        <f t="shared" si="2"/>
        <v>0.031221394</v>
      </c>
      <c r="S212" s="2" t="str">
        <f t="shared" si="3"/>
        <v>null</v>
      </c>
      <c r="T212" s="2" t="str">
        <f t="shared" si="4"/>
        <v>null</v>
      </c>
      <c r="U212" s="2">
        <f t="shared" si="5"/>
        <v>99</v>
      </c>
      <c r="V212" s="2" t="str">
        <f t="shared" si="6"/>
        <v>null</v>
      </c>
      <c r="W212" s="2" t="str">
        <f t="shared" si="7"/>
        <v>null</v>
      </c>
      <c r="X212" s="2" t="str">
        <f t="shared" si="8"/>
        <v/>
      </c>
      <c r="Y212" s="2" t="str">
        <f t="shared" si="9"/>
        <v/>
      </c>
      <c r="Z212" s="2" t="str">
        <f t="shared" si="10"/>
        <v/>
      </c>
      <c r="AA212" s="2" t="str">
        <f t="shared" si="11"/>
        <v>null</v>
      </c>
      <c r="AB212" s="2" t="str">
        <f t="shared" si="12"/>
        <v>null</v>
      </c>
      <c r="AC212" s="2" t="str">
        <f>VLOOKUP(A212,Regions!$A$2:$B$233,2)</f>
        <v>East Asia &amp; Pacific</v>
      </c>
    </row>
    <row r="213">
      <c r="A213" s="1" t="s">
        <v>135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2" t="str">
        <f t="shared" si="1"/>
        <v/>
      </c>
      <c r="R213" s="2" t="str">
        <f t="shared" si="2"/>
        <v/>
      </c>
      <c r="S213" s="2" t="str">
        <f t="shared" si="3"/>
        <v/>
      </c>
      <c r="T213" s="2" t="str">
        <f t="shared" si="4"/>
        <v/>
      </c>
      <c r="U213" s="2">
        <f t="shared" si="5"/>
        <v>99</v>
      </c>
      <c r="V213" s="2" t="str">
        <f t="shared" si="6"/>
        <v>null</v>
      </c>
      <c r="W213" s="2" t="str">
        <f t="shared" si="7"/>
        <v>null</v>
      </c>
      <c r="X213" s="2" t="str">
        <f t="shared" si="8"/>
        <v/>
      </c>
      <c r="Y213" s="2" t="str">
        <f t="shared" si="9"/>
        <v/>
      </c>
      <c r="Z213" s="2" t="str">
        <f t="shared" si="10"/>
        <v/>
      </c>
      <c r="AA213" s="2">
        <f t="shared" si="11"/>
        <v>0</v>
      </c>
      <c r="AB213" s="2">
        <f t="shared" si="12"/>
        <v>0</v>
      </c>
      <c r="AC213" s="2" t="str">
        <f>VLOOKUP(A213,Regions!$A$2:$B$233,2)</f>
        <v>East Asia &amp; Pacific</v>
      </c>
    </row>
    <row r="214">
      <c r="A214" s="1" t="s">
        <v>136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2">
        <f t="shared" si="1"/>
        <v>5</v>
      </c>
      <c r="R214" s="2">
        <f t="shared" si="2"/>
        <v>-0.01329639</v>
      </c>
      <c r="S214" s="2">
        <f t="shared" si="3"/>
        <v>-0.01016734</v>
      </c>
      <c r="T214" s="2">
        <f t="shared" si="4"/>
        <v>-0.018220846</v>
      </c>
      <c r="U214" s="2">
        <f t="shared" si="5"/>
        <v>99</v>
      </c>
      <c r="V214" s="2">
        <f t="shared" si="6"/>
        <v>97</v>
      </c>
      <c r="W214" s="2">
        <f t="shared" si="7"/>
        <v>99</v>
      </c>
      <c r="X214" s="2" t="str">
        <f t="shared" si="8"/>
        <v/>
      </c>
      <c r="Y214" s="2" t="str">
        <f t="shared" si="9"/>
        <v/>
      </c>
      <c r="Z214" s="2" t="str">
        <f t="shared" si="10"/>
        <v/>
      </c>
      <c r="AA214" s="2">
        <f t="shared" si="11"/>
        <v>0.008053506</v>
      </c>
      <c r="AB214" s="2">
        <f t="shared" si="12"/>
        <v>0.008053506</v>
      </c>
      <c r="AC214" s="2" t="str">
        <f>VLOOKUP(A214,Regions!$A$2:$B$233,2)</f>
        <v>Middle East &amp; North Africa</v>
      </c>
    </row>
    <row r="215">
      <c r="A215" s="1" t="s">
        <v>136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Q215" s="2" t="str">
        <f t="shared" si="1"/>
        <v/>
      </c>
      <c r="R215" s="2" t="str">
        <f t="shared" si="2"/>
        <v/>
      </c>
      <c r="S215" s="2" t="str">
        <f t="shared" si="3"/>
        <v/>
      </c>
      <c r="T215" s="2" t="str">
        <f t="shared" si="4"/>
        <v/>
      </c>
      <c r="U215" s="2">
        <f t="shared" si="5"/>
        <v>99</v>
      </c>
      <c r="V215" s="2">
        <f t="shared" si="6"/>
        <v>97</v>
      </c>
      <c r="W215" s="2">
        <f t="shared" si="7"/>
        <v>99</v>
      </c>
      <c r="X215" s="2" t="str">
        <f t="shared" si="8"/>
        <v/>
      </c>
      <c r="Y215" s="2" t="str">
        <f t="shared" si="9"/>
        <v/>
      </c>
      <c r="Z215" s="2" t="str">
        <f t="shared" si="10"/>
        <v/>
      </c>
      <c r="AA215" s="2">
        <f t="shared" si="11"/>
        <v>0</v>
      </c>
      <c r="AB215" s="2">
        <f t="shared" si="12"/>
        <v>0</v>
      </c>
      <c r="AC215" s="2" t="str">
        <f>VLOOKUP(A215,Regions!$A$2:$B$233,2)</f>
        <v>Middle East &amp; North Africa</v>
      </c>
    </row>
    <row r="216">
      <c r="A216" s="1" t="s">
        <v>137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2">
        <f t="shared" si="1"/>
        <v>5</v>
      </c>
      <c r="R216" s="2">
        <f t="shared" si="2"/>
        <v>0.081927182</v>
      </c>
      <c r="S216" s="2">
        <f t="shared" si="3"/>
        <v>0.2383509</v>
      </c>
      <c r="T216" s="2">
        <f t="shared" si="4"/>
        <v>-0.045335692</v>
      </c>
      <c r="U216" s="2">
        <f t="shared" si="5"/>
        <v>95</v>
      </c>
      <c r="V216" s="2">
        <f t="shared" si="6"/>
        <v>91</v>
      </c>
      <c r="W216" s="2">
        <f t="shared" si="7"/>
        <v>98</v>
      </c>
      <c r="X216" s="2" t="str">
        <f t="shared" si="8"/>
        <v/>
      </c>
      <c r="Y216" s="2" t="str">
        <f t="shared" si="9"/>
        <v/>
      </c>
      <c r="Z216" s="2" t="str">
        <f t="shared" si="10"/>
        <v/>
      </c>
      <c r="AA216" s="2">
        <f t="shared" si="11"/>
        <v>0.283686592</v>
      </c>
      <c r="AB216" s="2">
        <f t="shared" si="12"/>
        <v>0.283686592</v>
      </c>
      <c r="AC216" s="2" t="str">
        <f>VLOOKUP(A216,Regions!$A$2:$B$233,2)</f>
        <v>Europe &amp; Central Asia</v>
      </c>
    </row>
    <row r="217">
      <c r="A217" s="1" t="s">
        <v>137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Q217" s="2" t="str">
        <f t="shared" si="1"/>
        <v/>
      </c>
      <c r="R217" s="2" t="str">
        <f t="shared" si="2"/>
        <v/>
      </c>
      <c r="S217" s="2" t="str">
        <f t="shared" si="3"/>
        <v/>
      </c>
      <c r="T217" s="2" t="str">
        <f t="shared" si="4"/>
        <v/>
      </c>
      <c r="U217" s="2">
        <f t="shared" si="5"/>
        <v>95</v>
      </c>
      <c r="V217" s="2">
        <f t="shared" si="6"/>
        <v>92</v>
      </c>
      <c r="W217" s="2">
        <f t="shared" si="7"/>
        <v>98</v>
      </c>
      <c r="X217" s="2" t="str">
        <f t="shared" si="8"/>
        <v/>
      </c>
      <c r="Y217" s="2" t="str">
        <f t="shared" si="9"/>
        <v/>
      </c>
      <c r="Z217" s="2" t="str">
        <f t="shared" si="10"/>
        <v/>
      </c>
      <c r="AA217" s="2">
        <f t="shared" si="11"/>
        <v>0</v>
      </c>
      <c r="AB217" s="2">
        <f t="shared" si="12"/>
        <v>0</v>
      </c>
      <c r="AC217" s="2" t="str">
        <f>VLOOKUP(A217,Regions!$A$2:$B$233,2)</f>
        <v>Europe &amp; Central Asia</v>
      </c>
    </row>
    <row r="218">
      <c r="A218" s="1" t="s">
        <v>138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2">
        <f t="shared" si="1"/>
        <v>5</v>
      </c>
      <c r="R218" s="2">
        <f t="shared" si="2"/>
        <v>0.68719272</v>
      </c>
      <c r="S218" s="2">
        <f t="shared" si="3"/>
        <v>0.701563404</v>
      </c>
      <c r="T218" s="2">
        <f t="shared" si="4"/>
        <v>0.004416706</v>
      </c>
      <c r="U218" s="2">
        <f t="shared" si="5"/>
        <v>58</v>
      </c>
      <c r="V218" s="2">
        <f t="shared" si="6"/>
        <v>48</v>
      </c>
      <c r="W218" s="2">
        <f t="shared" si="7"/>
        <v>87</v>
      </c>
      <c r="X218" s="2" t="str">
        <f t="shared" si="8"/>
        <v/>
      </c>
      <c r="Y218" s="2" t="str">
        <f t="shared" si="9"/>
        <v/>
      </c>
      <c r="Z218" s="2" t="str">
        <f t="shared" si="10"/>
        <v/>
      </c>
      <c r="AA218" s="2">
        <f t="shared" si="11"/>
        <v>0.697146698</v>
      </c>
      <c r="AB218" s="2">
        <f t="shared" si="12"/>
        <v>0.697146698</v>
      </c>
      <c r="AC218" s="2" t="str">
        <f>VLOOKUP(A218,Regions!$A$2:$B$233,2)</f>
        <v>Sub-Saharan Africa</v>
      </c>
    </row>
    <row r="219">
      <c r="A219" s="1" t="s">
        <v>138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Q219" s="2" t="str">
        <f t="shared" si="1"/>
        <v/>
      </c>
      <c r="R219" s="2" t="str">
        <f t="shared" si="2"/>
        <v/>
      </c>
      <c r="S219" s="2" t="str">
        <f t="shared" si="3"/>
        <v/>
      </c>
      <c r="T219" s="2" t="str">
        <f t="shared" si="4"/>
        <v/>
      </c>
      <c r="U219" s="2">
        <f t="shared" si="5"/>
        <v>62</v>
      </c>
      <c r="V219" s="2">
        <f t="shared" si="6"/>
        <v>52</v>
      </c>
      <c r="W219" s="2">
        <f t="shared" si="7"/>
        <v>87</v>
      </c>
      <c r="X219" s="2" t="str">
        <f t="shared" si="8"/>
        <v/>
      </c>
      <c r="Y219" s="2" t="str">
        <f t="shared" si="9"/>
        <v/>
      </c>
      <c r="Z219" s="2" t="str">
        <f t="shared" si="10"/>
        <v/>
      </c>
      <c r="AA219" s="2">
        <f t="shared" si="11"/>
        <v>0</v>
      </c>
      <c r="AB219" s="2">
        <f t="shared" si="12"/>
        <v>0</v>
      </c>
      <c r="AC219" s="2" t="str">
        <f>VLOOKUP(A219,Regions!$A$2:$B$233,2)</f>
        <v>Sub-Saharan Africa</v>
      </c>
    </row>
    <row r="220">
      <c r="A220" s="1" t="s">
        <v>139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2">
        <f t="shared" si="1"/>
        <v>5</v>
      </c>
      <c r="R220" s="2">
        <f t="shared" si="2"/>
        <v>0.824564852</v>
      </c>
      <c r="S220" s="2">
        <f t="shared" si="3"/>
        <v>0.61438646</v>
      </c>
      <c r="T220" s="2">
        <f t="shared" si="4"/>
        <v>0.55124857</v>
      </c>
      <c r="U220" s="2">
        <f t="shared" si="5"/>
        <v>74</v>
      </c>
      <c r="V220" s="2">
        <f t="shared" si="6"/>
        <v>58</v>
      </c>
      <c r="W220" s="2">
        <f t="shared" si="7"/>
        <v>89</v>
      </c>
      <c r="X220" s="2" t="str">
        <f t="shared" si="8"/>
        <v/>
      </c>
      <c r="Y220" s="2" t="str">
        <f t="shared" si="9"/>
        <v/>
      </c>
      <c r="Z220" s="2" t="str">
        <f t="shared" si="10"/>
        <v/>
      </c>
      <c r="AA220" s="2">
        <f t="shared" si="11"/>
        <v>0.06313789</v>
      </c>
      <c r="AB220" s="2">
        <f t="shared" si="12"/>
        <v>0.06313789</v>
      </c>
      <c r="AC220" s="2" t="str">
        <f>VLOOKUP(A220,Regions!$A$2:$B$233,2)</f>
        <v>East Asia &amp; Pacific</v>
      </c>
    </row>
    <row r="221">
      <c r="A221" s="1" t="s">
        <v>139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Q221" s="2" t="str">
        <f t="shared" si="1"/>
        <v/>
      </c>
      <c r="R221" s="2" t="str">
        <f t="shared" si="2"/>
        <v/>
      </c>
      <c r="S221" s="2" t="str">
        <f t="shared" si="3"/>
        <v/>
      </c>
      <c r="T221" s="2" t="str">
        <f t="shared" si="4"/>
        <v/>
      </c>
      <c r="U221" s="2">
        <f t="shared" si="5"/>
        <v>78</v>
      </c>
      <c r="V221" s="2">
        <f t="shared" si="6"/>
        <v>61</v>
      </c>
      <c r="W221" s="2">
        <f t="shared" si="7"/>
        <v>92</v>
      </c>
      <c r="X221" s="2" t="str">
        <f t="shared" si="8"/>
        <v/>
      </c>
      <c r="Y221" s="2" t="str">
        <f t="shared" si="9"/>
        <v/>
      </c>
      <c r="Z221" s="2" t="str">
        <f t="shared" si="10"/>
        <v/>
      </c>
      <c r="AA221" s="2">
        <f t="shared" si="11"/>
        <v>0</v>
      </c>
      <c r="AB221" s="2">
        <f t="shared" si="12"/>
        <v>0</v>
      </c>
      <c r="AC221" s="2" t="str">
        <f>VLOOKUP(A221,Regions!$A$2:$B$233,2)</f>
        <v>East Asia &amp; Pacific</v>
      </c>
    </row>
    <row r="222">
      <c r="A222" s="1" t="s">
        <v>140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2">
        <f t="shared" si="1"/>
        <v>5</v>
      </c>
      <c r="R222" s="2">
        <f t="shared" si="2"/>
        <v>0</v>
      </c>
      <c r="S222" s="2" t="str">
        <f t="shared" si="3"/>
        <v>null</v>
      </c>
      <c r="T222" s="2" t="str">
        <f t="shared" si="4"/>
        <v>null</v>
      </c>
      <c r="U222" s="2">
        <f t="shared" si="5"/>
        <v>100</v>
      </c>
      <c r="V222" s="2" t="str">
        <f t="shared" si="6"/>
        <v>null</v>
      </c>
      <c r="W222" s="2" t="str">
        <f t="shared" si="7"/>
        <v>null</v>
      </c>
      <c r="X222" s="2" t="str">
        <f t="shared" si="8"/>
        <v>full access</v>
      </c>
      <c r="Y222" s="2" t="str">
        <f t="shared" si="9"/>
        <v/>
      </c>
      <c r="Z222" s="2" t="str">
        <f t="shared" si="10"/>
        <v/>
      </c>
      <c r="AA222" s="2" t="str">
        <f t="shared" si="11"/>
        <v>null</v>
      </c>
      <c r="AB222" s="2" t="str">
        <f t="shared" si="12"/>
        <v>null</v>
      </c>
      <c r="AC222" s="2" t="str">
        <f>VLOOKUP(A222,Regions!$A$2:$B$233,2)</f>
        <v>Middle East &amp; North Africa</v>
      </c>
    </row>
    <row r="223">
      <c r="A223" s="1" t="s">
        <v>140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2" t="str">
        <f t="shared" si="1"/>
        <v/>
      </c>
      <c r="R223" s="2" t="str">
        <f t="shared" si="2"/>
        <v/>
      </c>
      <c r="S223" s="2" t="str">
        <f t="shared" si="3"/>
        <v/>
      </c>
      <c r="T223" s="2" t="str">
        <f t="shared" si="4"/>
        <v/>
      </c>
      <c r="U223" s="2">
        <f t="shared" si="5"/>
        <v>100</v>
      </c>
      <c r="V223" s="2" t="str">
        <f t="shared" si="6"/>
        <v>null</v>
      </c>
      <c r="W223" s="2" t="str">
        <f t="shared" si="7"/>
        <v>null</v>
      </c>
      <c r="X223" s="2" t="str">
        <f t="shared" si="8"/>
        <v/>
      </c>
      <c r="Y223" s="2" t="str">
        <f t="shared" si="9"/>
        <v/>
      </c>
      <c r="Z223" s="2" t="str">
        <f t="shared" si="10"/>
        <v/>
      </c>
      <c r="AA223" s="2">
        <f t="shared" si="11"/>
        <v>0</v>
      </c>
      <c r="AB223" s="2">
        <f t="shared" si="12"/>
        <v>0</v>
      </c>
      <c r="AC223" s="2" t="str">
        <f>VLOOKUP(A223,Regions!$A$2:$B$233,2)</f>
        <v>Middle East &amp; North Africa</v>
      </c>
    </row>
    <row r="224">
      <c r="A224" s="1" t="s">
        <v>141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2">
        <f t="shared" si="1"/>
        <v>5</v>
      </c>
      <c r="R224" s="2">
        <f t="shared" si="2"/>
        <v>0.651508794</v>
      </c>
      <c r="S224" s="2">
        <f t="shared" si="3"/>
        <v>0.830642272</v>
      </c>
      <c r="T224" s="2">
        <f t="shared" si="4"/>
        <v>0.257269172</v>
      </c>
      <c r="U224" s="2">
        <f t="shared" si="5"/>
        <v>88</v>
      </c>
      <c r="V224" s="2">
        <f t="shared" si="6"/>
        <v>83</v>
      </c>
      <c r="W224" s="2">
        <f t="shared" si="7"/>
        <v>98</v>
      </c>
      <c r="X224" s="2" t="str">
        <f t="shared" si="8"/>
        <v/>
      </c>
      <c r="Y224" s="2" t="str">
        <f t="shared" si="9"/>
        <v/>
      </c>
      <c r="Z224" s="2" t="str">
        <f t="shared" si="10"/>
        <v/>
      </c>
      <c r="AA224" s="2">
        <f t="shared" si="11"/>
        <v>0.5733731</v>
      </c>
      <c r="AB224" s="2">
        <f t="shared" si="12"/>
        <v>0.5733731</v>
      </c>
      <c r="AC224" s="2" t="str">
        <f>VLOOKUP(A224,Regions!$A$2:$B$233,2)</f>
        <v>Europe &amp; Central Asia</v>
      </c>
    </row>
    <row r="225">
      <c r="A225" s="1" t="s">
        <v>141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Q225" s="2" t="str">
        <f t="shared" si="1"/>
        <v/>
      </c>
      <c r="R225" s="2" t="str">
        <f t="shared" si="2"/>
        <v/>
      </c>
      <c r="S225" s="2" t="str">
        <f t="shared" si="3"/>
        <v/>
      </c>
      <c r="T225" s="2" t="str">
        <f t="shared" si="4"/>
        <v/>
      </c>
      <c r="U225" s="2">
        <f t="shared" si="5"/>
        <v>92</v>
      </c>
      <c r="V225" s="2">
        <f t="shared" si="6"/>
        <v>87</v>
      </c>
      <c r="W225" s="2">
        <f t="shared" si="7"/>
        <v>99</v>
      </c>
      <c r="X225" s="2" t="str">
        <f t="shared" si="8"/>
        <v/>
      </c>
      <c r="Y225" s="2" t="str">
        <f t="shared" si="9"/>
        <v/>
      </c>
      <c r="Z225" s="2" t="str">
        <f t="shared" si="10"/>
        <v/>
      </c>
      <c r="AA225" s="2">
        <f t="shared" si="11"/>
        <v>0</v>
      </c>
      <c r="AB225" s="2">
        <f t="shared" si="12"/>
        <v>0</v>
      </c>
      <c r="AC225" s="2" t="str">
        <f>VLOOKUP(A225,Regions!$A$2:$B$233,2)</f>
        <v>Europe &amp; Central Asia</v>
      </c>
    </row>
    <row r="226">
      <c r="A226" s="1" t="s">
        <v>142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2">
        <f t="shared" si="1"/>
        <v>5</v>
      </c>
      <c r="R226" s="2">
        <f t="shared" si="2"/>
        <v>1.551834194</v>
      </c>
      <c r="S226" s="2">
        <f t="shared" si="3"/>
        <v>1.646654574</v>
      </c>
      <c r="T226" s="2">
        <f t="shared" si="4"/>
        <v>1.002896448</v>
      </c>
      <c r="U226" s="2">
        <f t="shared" si="5"/>
        <v>77</v>
      </c>
      <c r="V226" s="2">
        <f t="shared" si="6"/>
        <v>70</v>
      </c>
      <c r="W226" s="2">
        <f t="shared" si="7"/>
        <v>92</v>
      </c>
      <c r="X226" s="2" t="str">
        <f t="shared" si="8"/>
        <v/>
      </c>
      <c r="Y226" s="2" t="str">
        <f t="shared" si="9"/>
        <v/>
      </c>
      <c r="Z226" s="2" t="str">
        <f t="shared" si="10"/>
        <v/>
      </c>
      <c r="AA226" s="2">
        <f t="shared" si="11"/>
        <v>0.643758126</v>
      </c>
      <c r="AB226" s="2">
        <f t="shared" si="12"/>
        <v>0.643758126</v>
      </c>
      <c r="AC226" s="2" t="str">
        <f>VLOOKUP(A226,Regions!$A$2:$B$233,2)</f>
        <v>East Asia &amp; Pacific</v>
      </c>
    </row>
    <row r="227">
      <c r="A227" s="1" t="s">
        <v>142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Q227" s="2" t="str">
        <f t="shared" si="1"/>
        <v/>
      </c>
      <c r="R227" s="2" t="str">
        <f t="shared" si="2"/>
        <v/>
      </c>
      <c r="S227" s="2" t="str">
        <f t="shared" si="3"/>
        <v/>
      </c>
      <c r="T227" s="2" t="str">
        <f t="shared" si="4"/>
        <v/>
      </c>
      <c r="U227" s="2">
        <f t="shared" si="5"/>
        <v>85</v>
      </c>
      <c r="V227" s="2">
        <f t="shared" si="6"/>
        <v>78</v>
      </c>
      <c r="W227" s="2">
        <f t="shared" si="7"/>
        <v>97</v>
      </c>
      <c r="X227" s="2" t="str">
        <f t="shared" si="8"/>
        <v/>
      </c>
      <c r="Y227" s="2" t="str">
        <f t="shared" si="9"/>
        <v/>
      </c>
      <c r="Z227" s="2" t="str">
        <f t="shared" si="10"/>
        <v/>
      </c>
      <c r="AA227" s="2">
        <f t="shared" si="11"/>
        <v>0</v>
      </c>
      <c r="AB227" s="2">
        <f t="shared" si="12"/>
        <v>0</v>
      </c>
      <c r="AC227" s="2" t="str">
        <f>VLOOKUP(A227,Regions!$A$2:$B$233,2)</f>
        <v>East Asia &amp; Pacific</v>
      </c>
    </row>
    <row r="228">
      <c r="A228" s="1" t="s">
        <v>143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2">
        <f t="shared" si="1"/>
        <v>5</v>
      </c>
      <c r="R228" s="2">
        <f t="shared" si="2"/>
        <v>0.051496774</v>
      </c>
      <c r="S228" s="2">
        <f t="shared" si="3"/>
        <v>0.144900826</v>
      </c>
      <c r="T228" s="2">
        <f t="shared" si="4"/>
        <v>0.00720627</v>
      </c>
      <c r="U228" s="2">
        <f t="shared" si="5"/>
        <v>99</v>
      </c>
      <c r="V228" s="2">
        <f t="shared" si="6"/>
        <v>98</v>
      </c>
      <c r="W228" s="2">
        <f t="shared" si="7"/>
        <v>99</v>
      </c>
      <c r="X228" s="2" t="str">
        <f t="shared" si="8"/>
        <v/>
      </c>
      <c r="Y228" s="2" t="str">
        <f t="shared" si="9"/>
        <v/>
      </c>
      <c r="Z228" s="2" t="str">
        <f t="shared" si="10"/>
        <v/>
      </c>
      <c r="AA228" s="2">
        <f t="shared" si="11"/>
        <v>0.137694556</v>
      </c>
      <c r="AB228" s="2">
        <f t="shared" si="12"/>
        <v>0.137694556</v>
      </c>
      <c r="AC228" s="2" t="str">
        <f>VLOOKUP(A228,Regions!$A$2:$B$233,2)</f>
        <v>Europe &amp; Central Asia</v>
      </c>
    </row>
    <row r="229">
      <c r="A229" s="1" t="s">
        <v>143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Q229" s="2" t="str">
        <f t="shared" si="1"/>
        <v/>
      </c>
      <c r="R229" s="2" t="str">
        <f t="shared" si="2"/>
        <v/>
      </c>
      <c r="S229" s="2" t="str">
        <f t="shared" si="3"/>
        <v/>
      </c>
      <c r="T229" s="2" t="str">
        <f t="shared" si="4"/>
        <v/>
      </c>
      <c r="U229" s="2">
        <f t="shared" si="5"/>
        <v>99</v>
      </c>
      <c r="V229" s="2">
        <f t="shared" si="6"/>
        <v>99</v>
      </c>
      <c r="W229" s="2">
        <f t="shared" si="7"/>
        <v>99</v>
      </c>
      <c r="X229" s="2" t="str">
        <f t="shared" si="8"/>
        <v/>
      </c>
      <c r="Y229" s="2" t="str">
        <f t="shared" si="9"/>
        <v/>
      </c>
      <c r="Z229" s="2" t="str">
        <f t="shared" si="10"/>
        <v/>
      </c>
      <c r="AA229" s="2">
        <f t="shared" si="11"/>
        <v>0</v>
      </c>
      <c r="AB229" s="2">
        <f t="shared" si="12"/>
        <v>0</v>
      </c>
      <c r="AC229" s="2" t="str">
        <f>VLOOKUP(A229,Regions!$A$2:$B$233,2)</f>
        <v>Europe &amp; Central Asia</v>
      </c>
    </row>
    <row r="230">
      <c r="A230" s="1" t="s">
        <v>144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  <c r="Q230" s="2">
        <f t="shared" si="1"/>
        <v>5</v>
      </c>
      <c r="R230" s="2">
        <f t="shared" si="2"/>
        <v>0.275135498</v>
      </c>
      <c r="S230" s="2" t="str">
        <f t="shared" si="3"/>
        <v>null</v>
      </c>
      <c r="T230" s="2" t="str">
        <f t="shared" si="4"/>
        <v>null</v>
      </c>
      <c r="U230" s="2">
        <f t="shared" si="5"/>
        <v>91</v>
      </c>
      <c r="V230" s="2" t="str">
        <f t="shared" si="6"/>
        <v>null</v>
      </c>
      <c r="W230" s="2" t="str">
        <f t="shared" si="7"/>
        <v>null</v>
      </c>
      <c r="X230" s="2" t="str">
        <f t="shared" si="8"/>
        <v/>
      </c>
      <c r="Y230" s="2" t="str">
        <f t="shared" si="9"/>
        <v/>
      </c>
      <c r="Z230" s="2" t="str">
        <f t="shared" si="10"/>
        <v/>
      </c>
      <c r="AA230" s="2" t="str">
        <f t="shared" si="11"/>
        <v>null</v>
      </c>
      <c r="AB230" s="2" t="str">
        <f t="shared" si="12"/>
        <v>null</v>
      </c>
      <c r="AC230" s="2" t="str">
        <f>VLOOKUP(A230,Regions!$A$2:$B$233,2)</f>
        <v>Middle East &amp; North Africa</v>
      </c>
    </row>
    <row r="231">
      <c r="A231" s="1" t="s">
        <v>144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33</v>
      </c>
      <c r="J231" s="1" t="s">
        <v>33</v>
      </c>
      <c r="K231" s="1" t="s">
        <v>33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  <c r="Q231" s="2" t="str">
        <f t="shared" si="1"/>
        <v/>
      </c>
      <c r="R231" s="2" t="str">
        <f t="shared" si="2"/>
        <v/>
      </c>
      <c r="S231" s="2" t="str">
        <f t="shared" si="3"/>
        <v/>
      </c>
      <c r="T231" s="2" t="str">
        <f t="shared" si="4"/>
        <v/>
      </c>
      <c r="U231" s="2">
        <f t="shared" si="5"/>
        <v>93</v>
      </c>
      <c r="V231" s="2" t="str">
        <f t="shared" si="6"/>
        <v>null</v>
      </c>
      <c r="W231" s="2" t="str">
        <f t="shared" si="7"/>
        <v>null</v>
      </c>
      <c r="X231" s="2" t="str">
        <f t="shared" si="8"/>
        <v/>
      </c>
      <c r="Y231" s="2" t="str">
        <f t="shared" si="9"/>
        <v/>
      </c>
      <c r="Z231" s="2" t="str">
        <f t="shared" si="10"/>
        <v/>
      </c>
      <c r="AA231" s="2">
        <f t="shared" si="11"/>
        <v>0</v>
      </c>
      <c r="AB231" s="2">
        <f t="shared" si="12"/>
        <v>0</v>
      </c>
      <c r="AC231" s="2" t="str">
        <f>VLOOKUP(A231,Regions!$A$2:$B$233,2)</f>
        <v>Middle East &amp; North Africa</v>
      </c>
    </row>
    <row r="232">
      <c r="A232" s="1" t="s">
        <v>145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2">
        <f t="shared" si="1"/>
        <v>5</v>
      </c>
      <c r="R232" s="2">
        <f t="shared" si="2"/>
        <v>0.326069974</v>
      </c>
      <c r="S232" s="2">
        <f t="shared" si="3"/>
        <v>0.045894334</v>
      </c>
      <c r="T232" s="2">
        <f t="shared" si="4"/>
        <v>0.624326482</v>
      </c>
      <c r="U232" s="2">
        <f t="shared" si="5"/>
        <v>71</v>
      </c>
      <c r="V232" s="2">
        <f t="shared" si="6"/>
        <v>63</v>
      </c>
      <c r="W232" s="2">
        <f t="shared" si="7"/>
        <v>90</v>
      </c>
      <c r="X232" s="2" t="str">
        <f t="shared" si="8"/>
        <v/>
      </c>
      <c r="Y232" s="2" t="str">
        <f t="shared" si="9"/>
        <v/>
      </c>
      <c r="Z232" s="2" t="str">
        <f t="shared" si="10"/>
        <v/>
      </c>
      <c r="AA232" s="2">
        <f t="shared" si="11"/>
        <v>-0.578432148</v>
      </c>
      <c r="AB232" s="2">
        <f t="shared" si="12"/>
        <v>0.578432148</v>
      </c>
      <c r="AC232" s="2" t="str">
        <f>VLOOKUP(A232,Regions!$A$2:$B$233,2)</f>
        <v>Sub-Saharan Africa</v>
      </c>
    </row>
    <row r="233">
      <c r="A233" s="1" t="s">
        <v>145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Q233" s="2" t="str">
        <f t="shared" si="1"/>
        <v/>
      </c>
      <c r="R233" s="2" t="str">
        <f t="shared" si="2"/>
        <v/>
      </c>
      <c r="S233" s="2" t="str">
        <f t="shared" si="3"/>
        <v/>
      </c>
      <c r="T233" s="2" t="str">
        <f t="shared" si="4"/>
        <v/>
      </c>
      <c r="U233" s="2">
        <f t="shared" si="5"/>
        <v>72</v>
      </c>
      <c r="V233" s="2">
        <f t="shared" si="6"/>
        <v>64</v>
      </c>
      <c r="W233" s="2">
        <f t="shared" si="7"/>
        <v>93</v>
      </c>
      <c r="X233" s="2" t="str">
        <f t="shared" si="8"/>
        <v/>
      </c>
      <c r="Y233" s="2" t="str">
        <f t="shared" si="9"/>
        <v/>
      </c>
      <c r="Z233" s="2" t="str">
        <f t="shared" si="10"/>
        <v/>
      </c>
      <c r="AA233" s="2">
        <f t="shared" si="11"/>
        <v>0</v>
      </c>
      <c r="AB233" s="2">
        <f t="shared" si="12"/>
        <v>0</v>
      </c>
      <c r="AC233" s="2" t="str">
        <f>VLOOKUP(A233,Regions!$A$2:$B$233,2)</f>
        <v>Sub-Saharan Africa</v>
      </c>
    </row>
    <row r="234">
      <c r="A234" s="1" t="s">
        <v>146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2">
        <f t="shared" si="1"/>
        <v>5</v>
      </c>
      <c r="R234" s="2">
        <f t="shared" si="2"/>
        <v>0.53839993</v>
      </c>
      <c r="S234" s="2">
        <f t="shared" si="3"/>
        <v>0.567406986</v>
      </c>
      <c r="T234" s="2">
        <f t="shared" si="4"/>
        <v>0.314001124</v>
      </c>
      <c r="U234" s="2">
        <f t="shared" si="5"/>
        <v>73</v>
      </c>
      <c r="V234" s="2">
        <f t="shared" si="6"/>
        <v>61</v>
      </c>
      <c r="W234" s="2">
        <f t="shared" si="7"/>
        <v>84</v>
      </c>
      <c r="X234" s="2" t="str">
        <f t="shared" si="8"/>
        <v/>
      </c>
      <c r="Y234" s="2" t="str">
        <f t="shared" si="9"/>
        <v/>
      </c>
      <c r="Z234" s="2" t="str">
        <f t="shared" si="10"/>
        <v/>
      </c>
      <c r="AA234" s="2">
        <f t="shared" si="11"/>
        <v>0.253405862</v>
      </c>
      <c r="AB234" s="2">
        <f t="shared" si="12"/>
        <v>0.253405862</v>
      </c>
      <c r="AC234" s="2" t="str">
        <f>VLOOKUP(A234,Regions!$A$2:$B$233,2)</f>
        <v>Sub-Saharan Africa</v>
      </c>
    </row>
    <row r="235">
      <c r="A235" s="1" t="s">
        <v>146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Q235" s="2" t="str">
        <f t="shared" si="1"/>
        <v/>
      </c>
      <c r="R235" s="2" t="str">
        <f t="shared" si="2"/>
        <v/>
      </c>
      <c r="S235" s="2" t="str">
        <f t="shared" si="3"/>
        <v/>
      </c>
      <c r="T235" s="2" t="str">
        <f t="shared" si="4"/>
        <v/>
      </c>
      <c r="U235" s="2">
        <f t="shared" si="5"/>
        <v>75</v>
      </c>
      <c r="V235" s="2">
        <f t="shared" si="6"/>
        <v>64</v>
      </c>
      <c r="W235" s="2">
        <f t="shared" si="7"/>
        <v>86</v>
      </c>
      <c r="X235" s="2" t="str">
        <f t="shared" si="8"/>
        <v/>
      </c>
      <c r="Y235" s="2" t="str">
        <f t="shared" si="9"/>
        <v/>
      </c>
      <c r="Z235" s="2" t="str">
        <f t="shared" si="10"/>
        <v/>
      </c>
      <c r="AA235" s="2">
        <f t="shared" si="11"/>
        <v>0</v>
      </c>
      <c r="AB235" s="2">
        <f t="shared" si="12"/>
        <v>0</v>
      </c>
      <c r="AC235" s="2" t="str">
        <f>VLOOKUP(A235,Regions!$A$2:$B$233,2)</f>
        <v>Sub-Saharan Africa</v>
      </c>
    </row>
    <row r="236">
      <c r="A236" s="1" t="s">
        <v>147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33</v>
      </c>
      <c r="J236" s="1" t="s">
        <v>33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33</v>
      </c>
      <c r="Q236" s="2">
        <f t="shared" si="1"/>
        <v>5</v>
      </c>
      <c r="R236" s="2">
        <f t="shared" si="2"/>
        <v>0.521981728</v>
      </c>
      <c r="S236" s="2" t="str">
        <f t="shared" si="3"/>
        <v>null</v>
      </c>
      <c r="T236" s="2" t="str">
        <f t="shared" si="4"/>
        <v>null</v>
      </c>
      <c r="U236" s="2">
        <f t="shared" si="5"/>
        <v>97</v>
      </c>
      <c r="V236" s="2" t="str">
        <f t="shared" si="6"/>
        <v>null</v>
      </c>
      <c r="W236" s="2" t="str">
        <f t="shared" si="7"/>
        <v>null</v>
      </c>
      <c r="X236" s="2" t="str">
        <f t="shared" si="8"/>
        <v/>
      </c>
      <c r="Y236" s="2" t="str">
        <f t="shared" si="9"/>
        <v/>
      </c>
      <c r="Z236" s="2" t="str">
        <f t="shared" si="10"/>
        <v/>
      </c>
      <c r="AA236" s="2" t="str">
        <f t="shared" si="11"/>
        <v>null</v>
      </c>
      <c r="AB236" s="2" t="str">
        <f t="shared" si="12"/>
        <v>null</v>
      </c>
      <c r="AC236" s="2" t="str">
        <f>VLOOKUP(A236,Regions!$A$2:$B$233,2)</f>
        <v>Sub-Saharan Africa</v>
      </c>
    </row>
    <row r="237">
      <c r="A237" s="1" t="s">
        <v>147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33</v>
      </c>
      <c r="J237" s="1" t="s">
        <v>33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33</v>
      </c>
      <c r="P237" s="1" t="s">
        <v>33</v>
      </c>
      <c r="Q237" s="2" t="str">
        <f t="shared" si="1"/>
        <v/>
      </c>
      <c r="R237" s="2" t="str">
        <f t="shared" si="2"/>
        <v/>
      </c>
      <c r="S237" s="2" t="str">
        <f t="shared" si="3"/>
        <v/>
      </c>
      <c r="T237" s="2" t="str">
        <f t="shared" si="4"/>
        <v/>
      </c>
      <c r="U237" s="2">
        <f t="shared" si="5"/>
        <v>100</v>
      </c>
      <c r="V237" s="2" t="str">
        <f t="shared" si="6"/>
        <v>null</v>
      </c>
      <c r="W237" s="2" t="str">
        <f t="shared" si="7"/>
        <v>null</v>
      </c>
      <c r="X237" s="2" t="str">
        <f t="shared" si="8"/>
        <v/>
      </c>
      <c r="Y237" s="2" t="str">
        <f t="shared" si="9"/>
        <v/>
      </c>
      <c r="Z237" s="2" t="str">
        <f t="shared" si="10"/>
        <v/>
      </c>
      <c r="AA237" s="2">
        <f t="shared" si="11"/>
        <v>0</v>
      </c>
      <c r="AB237" s="2">
        <f t="shared" si="12"/>
        <v>0</v>
      </c>
      <c r="AC237" s="2" t="str">
        <f>VLOOKUP(A237,Regions!$A$2:$B$233,2)</f>
        <v>Sub-Saharan Africa</v>
      </c>
    </row>
    <row r="238">
      <c r="A238" s="1" t="s">
        <v>148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33</v>
      </c>
      <c r="J238" s="1" t="s">
        <v>33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  <c r="Q238" s="2">
        <f t="shared" si="1"/>
        <v>5</v>
      </c>
      <c r="R238" s="2">
        <f t="shared" si="2"/>
        <v>0</v>
      </c>
      <c r="S238" s="2" t="str">
        <f t="shared" si="3"/>
        <v>null</v>
      </c>
      <c r="T238" s="2" t="str">
        <f t="shared" si="4"/>
        <v>null</v>
      </c>
      <c r="U238" s="2">
        <f t="shared" si="5"/>
        <v>100</v>
      </c>
      <c r="V238" s="2" t="str">
        <f t="shared" si="6"/>
        <v>null</v>
      </c>
      <c r="W238" s="2" t="str">
        <f t="shared" si="7"/>
        <v>null</v>
      </c>
      <c r="X238" s="2" t="str">
        <f t="shared" si="8"/>
        <v>full access</v>
      </c>
      <c r="Y238" s="2" t="str">
        <f t="shared" si="9"/>
        <v/>
      </c>
      <c r="Z238" s="2" t="str">
        <f t="shared" si="10"/>
        <v/>
      </c>
      <c r="AA238" s="2" t="str">
        <f t="shared" si="11"/>
        <v>null</v>
      </c>
      <c r="AB238" s="2" t="str">
        <f t="shared" si="12"/>
        <v>null</v>
      </c>
      <c r="AC238" s="2" t="str">
        <f>VLOOKUP(A238,Regions!$A$2:$B$233,2)</f>
        <v>Europe &amp; Central Asia</v>
      </c>
    </row>
    <row r="239">
      <c r="A239" s="1" t="s">
        <v>148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33</v>
      </c>
      <c r="J239" s="1" t="s">
        <v>33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  <c r="Q239" s="2" t="str">
        <f t="shared" si="1"/>
        <v/>
      </c>
      <c r="R239" s="2" t="str">
        <f t="shared" si="2"/>
        <v/>
      </c>
      <c r="S239" s="2" t="str">
        <f t="shared" si="3"/>
        <v/>
      </c>
      <c r="T239" s="2" t="str">
        <f t="shared" si="4"/>
        <v/>
      </c>
      <c r="U239" s="2">
        <f t="shared" si="5"/>
        <v>100</v>
      </c>
      <c r="V239" s="2" t="str">
        <f t="shared" si="6"/>
        <v>null</v>
      </c>
      <c r="W239" s="2" t="str">
        <f t="shared" si="7"/>
        <v>null</v>
      </c>
      <c r="X239" s="2" t="str">
        <f t="shared" si="8"/>
        <v/>
      </c>
      <c r="Y239" s="2" t="str">
        <f t="shared" si="9"/>
        <v/>
      </c>
      <c r="Z239" s="2" t="str">
        <f t="shared" si="10"/>
        <v/>
      </c>
      <c r="AA239" s="2">
        <f t="shared" si="11"/>
        <v>0</v>
      </c>
      <c r="AB239" s="2">
        <f t="shared" si="12"/>
        <v>0</v>
      </c>
      <c r="AC239" s="2" t="str">
        <f>VLOOKUP(A239,Regions!$A$2:$B$233,2)</f>
        <v>Europe &amp; Central Asia</v>
      </c>
    </row>
    <row r="240">
      <c r="A240" s="1" t="s">
        <v>149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2">
        <f t="shared" si="1"/>
        <v>5</v>
      </c>
      <c r="R240" s="2">
        <f t="shared" si="2"/>
        <v>0.281841732</v>
      </c>
      <c r="S240" s="2">
        <f t="shared" si="3"/>
        <v>0.612859164</v>
      </c>
      <c r="T240" s="2">
        <f t="shared" si="4"/>
        <v>0.10540193</v>
      </c>
      <c r="U240" s="2">
        <f t="shared" si="5"/>
        <v>97</v>
      </c>
      <c r="V240" s="2">
        <f t="shared" si="6"/>
        <v>91</v>
      </c>
      <c r="W240" s="2">
        <f t="shared" si="7"/>
        <v>99</v>
      </c>
      <c r="X240" s="2" t="str">
        <f t="shared" si="8"/>
        <v/>
      </c>
      <c r="Y240" s="2" t="str">
        <f t="shared" si="9"/>
        <v/>
      </c>
      <c r="Z240" s="2" t="str">
        <f t="shared" si="10"/>
        <v/>
      </c>
      <c r="AA240" s="2">
        <f t="shared" si="11"/>
        <v>0.507457234</v>
      </c>
      <c r="AB240" s="2">
        <f t="shared" si="12"/>
        <v>0.507457234</v>
      </c>
      <c r="AC240" s="2" t="str">
        <f>VLOOKUP(A240,Regions!$A$2:$B$233,2)</f>
        <v>Europe &amp; Central Asia</v>
      </c>
    </row>
    <row r="241">
      <c r="A241" s="1" t="s">
        <v>149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Q241" s="2" t="str">
        <f t="shared" si="1"/>
        <v/>
      </c>
      <c r="R241" s="2" t="str">
        <f t="shared" si="2"/>
        <v/>
      </c>
      <c r="S241" s="2" t="str">
        <f t="shared" si="3"/>
        <v/>
      </c>
      <c r="T241" s="2" t="str">
        <f t="shared" si="4"/>
        <v/>
      </c>
      <c r="U241" s="2">
        <f t="shared" si="5"/>
        <v>98</v>
      </c>
      <c r="V241" s="2">
        <f t="shared" si="6"/>
        <v>94</v>
      </c>
      <c r="W241" s="2">
        <f t="shared" si="7"/>
        <v>100</v>
      </c>
      <c r="X241" s="2" t="str">
        <f t="shared" si="8"/>
        <v/>
      </c>
      <c r="Y241" s="2" t="str">
        <f t="shared" si="9"/>
        <v/>
      </c>
      <c r="Z241" s="2" t="str">
        <f t="shared" si="10"/>
        <v/>
      </c>
      <c r="AA241" s="2">
        <f t="shared" si="11"/>
        <v>0</v>
      </c>
      <c r="AB241" s="2">
        <f t="shared" si="12"/>
        <v>0</v>
      </c>
      <c r="AC241" s="2" t="str">
        <f>VLOOKUP(A241,Regions!$A$2:$B$233,2)</f>
        <v>Europe &amp; Central Asia</v>
      </c>
    </row>
    <row r="242">
      <c r="A242" s="1" t="s">
        <v>150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2">
        <f t="shared" si="1"/>
        <v>5</v>
      </c>
      <c r="R242" s="2">
        <f t="shared" si="2"/>
        <v>-0.009047624</v>
      </c>
      <c r="S242" s="2">
        <f t="shared" si="3"/>
        <v>-0.128571428</v>
      </c>
      <c r="T242" s="2">
        <f t="shared" si="4"/>
        <v>0</v>
      </c>
      <c r="U242" s="2">
        <f t="shared" si="5"/>
        <v>100</v>
      </c>
      <c r="V242" s="2">
        <f t="shared" si="6"/>
        <v>99</v>
      </c>
      <c r="W242" s="2">
        <f t="shared" si="7"/>
        <v>100</v>
      </c>
      <c r="X242" s="2" t="str">
        <f t="shared" si="8"/>
        <v>full access</v>
      </c>
      <c r="Y242" s="2" t="str">
        <f t="shared" si="9"/>
        <v/>
      </c>
      <c r="Z242" s="2" t="str">
        <f t="shared" si="10"/>
        <v>full access</v>
      </c>
      <c r="AA242" s="2">
        <f t="shared" si="11"/>
        <v>-0.128571428</v>
      </c>
      <c r="AB242" s="2">
        <f t="shared" si="12"/>
        <v>0.128571428</v>
      </c>
      <c r="AC242" s="2" t="str">
        <f>VLOOKUP(A242,Regions!$A$2:$B$233,2)</f>
        <v>Europe &amp; Central Asia</v>
      </c>
    </row>
    <row r="243">
      <c r="A243" s="1" t="s">
        <v>150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Q243" s="2" t="str">
        <f t="shared" si="1"/>
        <v/>
      </c>
      <c r="R243" s="2" t="str">
        <f t="shared" si="2"/>
        <v/>
      </c>
      <c r="S243" s="2" t="str">
        <f t="shared" si="3"/>
        <v/>
      </c>
      <c r="T243" s="2" t="str">
        <f t="shared" si="4"/>
        <v/>
      </c>
      <c r="U243" s="2">
        <f t="shared" si="5"/>
        <v>100</v>
      </c>
      <c r="V243" s="2">
        <f t="shared" si="6"/>
        <v>99</v>
      </c>
      <c r="W243" s="2">
        <f t="shared" si="7"/>
        <v>100</v>
      </c>
      <c r="X243" s="2" t="str">
        <f t="shared" si="8"/>
        <v/>
      </c>
      <c r="Y243" s="2" t="str">
        <f t="shared" si="9"/>
        <v/>
      </c>
      <c r="Z243" s="2" t="str">
        <f t="shared" si="10"/>
        <v/>
      </c>
      <c r="AA243" s="2">
        <f t="shared" si="11"/>
        <v>0</v>
      </c>
      <c r="AB243" s="2">
        <f t="shared" si="12"/>
        <v>0</v>
      </c>
      <c r="AC243" s="2" t="str">
        <f>VLOOKUP(A243,Regions!$A$2:$B$233,2)</f>
        <v>Europe &amp; Central Asia</v>
      </c>
    </row>
    <row r="244">
      <c r="A244" s="1" t="s">
        <v>151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2">
        <f t="shared" si="1"/>
        <v>5</v>
      </c>
      <c r="R244" s="2">
        <f t="shared" si="2"/>
        <v>0.898822274</v>
      </c>
      <c r="S244" s="2">
        <f t="shared" si="3"/>
        <v>0.65236851</v>
      </c>
      <c r="T244" s="2">
        <f t="shared" si="4"/>
        <v>0.516035244</v>
      </c>
      <c r="U244" s="2">
        <f t="shared" si="5"/>
        <v>49</v>
      </c>
      <c r="V244" s="2">
        <f t="shared" si="6"/>
        <v>33</v>
      </c>
      <c r="W244" s="2">
        <f t="shared" si="7"/>
        <v>78</v>
      </c>
      <c r="X244" s="2" t="str">
        <f t="shared" si="8"/>
        <v/>
      </c>
      <c r="Y244" s="2" t="str">
        <f t="shared" si="9"/>
        <v/>
      </c>
      <c r="Z244" s="2" t="str">
        <f t="shared" si="10"/>
        <v/>
      </c>
      <c r="AA244" s="2">
        <f t="shared" si="11"/>
        <v>0.136333266</v>
      </c>
      <c r="AB244" s="2">
        <f t="shared" si="12"/>
        <v>0.136333266</v>
      </c>
      <c r="AC244" s="2" t="str">
        <f>VLOOKUP(A244,Regions!$A$2:$B$233,2)</f>
        <v>Sub-Saharan Africa</v>
      </c>
    </row>
    <row r="245">
      <c r="A245" s="1" t="s">
        <v>151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Q245" s="2" t="str">
        <f t="shared" si="1"/>
        <v/>
      </c>
      <c r="R245" s="2" t="str">
        <f t="shared" si="2"/>
        <v/>
      </c>
      <c r="S245" s="2" t="str">
        <f t="shared" si="3"/>
        <v/>
      </c>
      <c r="T245" s="2" t="str">
        <f t="shared" si="4"/>
        <v/>
      </c>
      <c r="U245" s="2">
        <f t="shared" si="5"/>
        <v>53</v>
      </c>
      <c r="V245" s="2">
        <f t="shared" si="6"/>
        <v>36</v>
      </c>
      <c r="W245" s="2">
        <f t="shared" si="7"/>
        <v>80</v>
      </c>
      <c r="X245" s="2" t="str">
        <f t="shared" si="8"/>
        <v/>
      </c>
      <c r="Y245" s="2" t="str">
        <f t="shared" si="9"/>
        <v/>
      </c>
      <c r="Z245" s="2" t="str">
        <f t="shared" si="10"/>
        <v/>
      </c>
      <c r="AA245" s="2">
        <f t="shared" si="11"/>
        <v>0</v>
      </c>
      <c r="AB245" s="2">
        <f t="shared" si="12"/>
        <v>0</v>
      </c>
      <c r="AC245" s="2" t="str">
        <f>VLOOKUP(A245,Regions!$A$2:$B$233,2)</f>
        <v>Sub-Saharan Africa</v>
      </c>
    </row>
    <row r="246">
      <c r="A246" s="1" t="s">
        <v>152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2">
        <f t="shared" si="1"/>
        <v>5</v>
      </c>
      <c r="R246" s="2">
        <f t="shared" si="2"/>
        <v>0.778553874</v>
      </c>
      <c r="S246" s="2">
        <f t="shared" si="3"/>
        <v>0.868887024</v>
      </c>
      <c r="T246" s="2">
        <f t="shared" si="4"/>
        <v>0.043763672</v>
      </c>
      <c r="U246" s="2">
        <f t="shared" si="5"/>
        <v>66</v>
      </c>
      <c r="V246" s="2">
        <f t="shared" si="6"/>
        <v>62</v>
      </c>
      <c r="W246" s="2">
        <f t="shared" si="7"/>
        <v>86</v>
      </c>
      <c r="X246" s="2" t="str">
        <f t="shared" si="8"/>
        <v/>
      </c>
      <c r="Y246" s="2" t="str">
        <f t="shared" si="9"/>
        <v/>
      </c>
      <c r="Z246" s="2" t="str">
        <f t="shared" si="10"/>
        <v/>
      </c>
      <c r="AA246" s="2">
        <f t="shared" si="11"/>
        <v>0.825123352</v>
      </c>
      <c r="AB246" s="2">
        <f t="shared" si="12"/>
        <v>0.825123352</v>
      </c>
      <c r="AC246" s="2" t="str">
        <f>VLOOKUP(A246,Regions!$A$2:$B$233,2)</f>
        <v>Sub-Saharan Africa</v>
      </c>
    </row>
    <row r="247">
      <c r="A247" s="1" t="s">
        <v>152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Q247" s="2" t="str">
        <f t="shared" si="1"/>
        <v/>
      </c>
      <c r="R247" s="2" t="str">
        <f t="shared" si="2"/>
        <v/>
      </c>
      <c r="S247" s="2" t="str">
        <f t="shared" si="3"/>
        <v/>
      </c>
      <c r="T247" s="2" t="str">
        <f t="shared" si="4"/>
        <v/>
      </c>
      <c r="U247" s="2">
        <f t="shared" si="5"/>
        <v>70</v>
      </c>
      <c r="V247" s="2">
        <f t="shared" si="6"/>
        <v>67</v>
      </c>
      <c r="W247" s="2">
        <f t="shared" si="7"/>
        <v>86</v>
      </c>
      <c r="X247" s="2" t="str">
        <f t="shared" si="8"/>
        <v/>
      </c>
      <c r="Y247" s="2" t="str">
        <f t="shared" si="9"/>
        <v/>
      </c>
      <c r="Z247" s="2" t="str">
        <f t="shared" si="10"/>
        <v/>
      </c>
      <c r="AA247" s="2">
        <f t="shared" si="11"/>
        <v>0</v>
      </c>
      <c r="AB247" s="2">
        <f t="shared" si="12"/>
        <v>0</v>
      </c>
      <c r="AC247" s="2" t="str">
        <f>VLOOKUP(A247,Regions!$A$2:$B$233,2)</f>
        <v>Sub-Saharan Africa</v>
      </c>
    </row>
    <row r="248">
      <c r="A248" s="1" t="s">
        <v>153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33</v>
      </c>
      <c r="I248" s="1">
        <v>90.91830922</v>
      </c>
      <c r="J248" s="1">
        <v>0.5488026714</v>
      </c>
      <c r="K248" s="1">
        <v>8.532888105</v>
      </c>
      <c r="L248" s="1" t="s">
        <v>33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2">
        <f t="shared" si="1"/>
        <v>5</v>
      </c>
      <c r="R248" s="2">
        <f t="shared" si="2"/>
        <v>0.009540902</v>
      </c>
      <c r="S248" s="2">
        <f t="shared" si="3"/>
        <v>-0.14417222</v>
      </c>
      <c r="T248" s="2">
        <f t="shared" si="4"/>
        <v>-0.008094028</v>
      </c>
      <c r="U248" s="2">
        <f t="shared" si="5"/>
        <v>97</v>
      </c>
      <c r="V248" s="2">
        <f t="shared" si="6"/>
        <v>91</v>
      </c>
      <c r="W248" s="2">
        <f t="shared" si="7"/>
        <v>99</v>
      </c>
      <c r="X248" s="2" t="str">
        <f t="shared" si="8"/>
        <v/>
      </c>
      <c r="Y248" s="2" t="str">
        <f t="shared" si="9"/>
        <v/>
      </c>
      <c r="Z248" s="2" t="str">
        <f t="shared" si="10"/>
        <v/>
      </c>
      <c r="AA248" s="2">
        <f t="shared" si="11"/>
        <v>-0.136078192</v>
      </c>
      <c r="AB248" s="2">
        <f t="shared" si="12"/>
        <v>0.136078192</v>
      </c>
      <c r="AC248" s="2" t="str">
        <f>VLOOKUP(A248,Regions!$A$2:$B$233,2)</f>
        <v>South Asia</v>
      </c>
    </row>
    <row r="249">
      <c r="A249" s="1" t="s">
        <v>153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33</v>
      </c>
      <c r="I249" s="1">
        <v>90.19744812</v>
      </c>
      <c r="J249" s="1">
        <v>0.5444513971</v>
      </c>
      <c r="K249" s="1">
        <v>9.258100478</v>
      </c>
      <c r="L249" s="1" t="s">
        <v>33</v>
      </c>
      <c r="M249" s="1">
        <v>99.14309591</v>
      </c>
      <c r="N249" s="1">
        <v>0.2983242605</v>
      </c>
      <c r="O249" s="1">
        <v>0.4685798319</v>
      </c>
      <c r="P249" s="1">
        <v>0.09</v>
      </c>
      <c r="Q249" s="2" t="str">
        <f t="shared" si="1"/>
        <v/>
      </c>
      <c r="R249" s="2" t="str">
        <f t="shared" si="2"/>
        <v/>
      </c>
      <c r="S249" s="2" t="str">
        <f t="shared" si="3"/>
        <v/>
      </c>
      <c r="T249" s="2" t="str">
        <f t="shared" si="4"/>
        <v/>
      </c>
      <c r="U249" s="2">
        <f t="shared" si="5"/>
        <v>97</v>
      </c>
      <c r="V249" s="2">
        <f t="shared" si="6"/>
        <v>90</v>
      </c>
      <c r="W249" s="2">
        <f t="shared" si="7"/>
        <v>99</v>
      </c>
      <c r="X249" s="2" t="str">
        <f t="shared" si="8"/>
        <v/>
      </c>
      <c r="Y249" s="2" t="str">
        <f t="shared" si="9"/>
        <v/>
      </c>
      <c r="Z249" s="2" t="str">
        <f t="shared" si="10"/>
        <v/>
      </c>
      <c r="AA249" s="2">
        <f t="shared" si="11"/>
        <v>0</v>
      </c>
      <c r="AB249" s="2">
        <f t="shared" si="12"/>
        <v>0</v>
      </c>
      <c r="AC249" s="2" t="str">
        <f>VLOOKUP(A249,Regions!$A$2:$B$233,2)</f>
        <v>South Asia</v>
      </c>
    </row>
    <row r="250">
      <c r="A250" s="1" t="s">
        <v>154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2">
        <f t="shared" si="1"/>
        <v>5</v>
      </c>
      <c r="R250" s="2">
        <f t="shared" si="2"/>
        <v>0.146038862</v>
      </c>
      <c r="S250" s="2">
        <f t="shared" si="3"/>
        <v>0.207862646</v>
      </c>
      <c r="T250" s="2">
        <f t="shared" si="4"/>
        <v>0.057636648</v>
      </c>
      <c r="U250" s="2">
        <f t="shared" si="5"/>
        <v>99</v>
      </c>
      <c r="V250" s="2">
        <f t="shared" si="6"/>
        <v>99</v>
      </c>
      <c r="W250" s="2">
        <f t="shared" si="7"/>
        <v>99</v>
      </c>
      <c r="X250" s="2" t="str">
        <f t="shared" si="8"/>
        <v/>
      </c>
      <c r="Y250" s="2" t="str">
        <f t="shared" si="9"/>
        <v/>
      </c>
      <c r="Z250" s="2" t="str">
        <f t="shared" si="10"/>
        <v/>
      </c>
      <c r="AA250" s="2">
        <f t="shared" si="11"/>
        <v>0.150225998</v>
      </c>
      <c r="AB250" s="2">
        <f t="shared" si="12"/>
        <v>0.150225998</v>
      </c>
      <c r="AC250" s="2" t="str">
        <f>VLOOKUP(A250,Regions!$A$2:$B$233,2)</f>
        <v>South Asia</v>
      </c>
    </row>
    <row r="251">
      <c r="A251" s="1" t="s">
        <v>154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Q251" s="2" t="str">
        <f t="shared" si="1"/>
        <v/>
      </c>
      <c r="R251" s="2" t="str">
        <f t="shared" si="2"/>
        <v/>
      </c>
      <c r="S251" s="2" t="str">
        <f t="shared" si="3"/>
        <v/>
      </c>
      <c r="T251" s="2" t="str">
        <f t="shared" si="4"/>
        <v/>
      </c>
      <c r="U251" s="2">
        <f t="shared" si="5"/>
        <v>100</v>
      </c>
      <c r="V251" s="2">
        <f t="shared" si="6"/>
        <v>100</v>
      </c>
      <c r="W251" s="2">
        <f t="shared" si="7"/>
        <v>99</v>
      </c>
      <c r="X251" s="2" t="str">
        <f t="shared" si="8"/>
        <v/>
      </c>
      <c r="Y251" s="2" t="str">
        <f t="shared" si="9"/>
        <v/>
      </c>
      <c r="Z251" s="2" t="str">
        <f t="shared" si="10"/>
        <v/>
      </c>
      <c r="AA251" s="2">
        <f t="shared" si="11"/>
        <v>0</v>
      </c>
      <c r="AB251" s="2">
        <f t="shared" si="12"/>
        <v>0</v>
      </c>
      <c r="AC251" s="2" t="str">
        <f>VLOOKUP(A251,Regions!$A$2:$B$233,2)</f>
        <v>South Asia</v>
      </c>
    </row>
    <row r="252">
      <c r="A252" s="1" t="s">
        <v>155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2">
        <f t="shared" si="1"/>
        <v>5</v>
      </c>
      <c r="R252" s="2">
        <f t="shared" si="2"/>
        <v>1.629555762</v>
      </c>
      <c r="S252" s="2">
        <f t="shared" si="3"/>
        <v>1.737036236</v>
      </c>
      <c r="T252" s="2">
        <f t="shared" si="4"/>
        <v>1.001209844</v>
      </c>
      <c r="U252" s="2">
        <f t="shared" si="5"/>
        <v>74</v>
      </c>
      <c r="V252" s="2">
        <f t="shared" si="6"/>
        <v>63</v>
      </c>
      <c r="W252" s="2">
        <f t="shared" si="7"/>
        <v>91</v>
      </c>
      <c r="X252" s="2" t="str">
        <f t="shared" si="8"/>
        <v/>
      </c>
      <c r="Y252" s="2" t="str">
        <f t="shared" si="9"/>
        <v/>
      </c>
      <c r="Z252" s="2" t="str">
        <f t="shared" si="10"/>
        <v/>
      </c>
      <c r="AA252" s="2">
        <f t="shared" si="11"/>
        <v>0.735826392</v>
      </c>
      <c r="AB252" s="2">
        <f t="shared" si="12"/>
        <v>0.735826392</v>
      </c>
      <c r="AC252" s="2" t="str">
        <f>VLOOKUP(A252,Regions!$A$2:$B$233,2)</f>
        <v>Sub-Saharan Africa</v>
      </c>
    </row>
    <row r="253">
      <c r="A253" s="1" t="s">
        <v>155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Q253" s="2" t="str">
        <f t="shared" si="1"/>
        <v/>
      </c>
      <c r="R253" s="2" t="str">
        <f t="shared" si="2"/>
        <v/>
      </c>
      <c r="S253" s="2" t="str">
        <f t="shared" si="3"/>
        <v/>
      </c>
      <c r="T253" s="2" t="str">
        <f t="shared" si="4"/>
        <v/>
      </c>
      <c r="U253" s="2">
        <f t="shared" si="5"/>
        <v>83</v>
      </c>
      <c r="V253" s="2">
        <f t="shared" si="6"/>
        <v>72</v>
      </c>
      <c r="W253" s="2">
        <f t="shared" si="7"/>
        <v>96</v>
      </c>
      <c r="X253" s="2" t="str">
        <f t="shared" si="8"/>
        <v/>
      </c>
      <c r="Y253" s="2" t="str">
        <f t="shared" si="9"/>
        <v/>
      </c>
      <c r="Z253" s="2" t="str">
        <f t="shared" si="10"/>
        <v/>
      </c>
      <c r="AA253" s="2">
        <f t="shared" si="11"/>
        <v>0</v>
      </c>
      <c r="AB253" s="2">
        <f t="shared" si="12"/>
        <v>0</v>
      </c>
      <c r="AC253" s="2" t="str">
        <f>VLOOKUP(A253,Regions!$A$2:$B$233,2)</f>
        <v>Sub-Saharan Africa</v>
      </c>
    </row>
    <row r="254">
      <c r="A254" s="1" t="s">
        <v>156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2">
        <f t="shared" si="1"/>
        <v>5</v>
      </c>
      <c r="R254" s="2">
        <f t="shared" si="2"/>
        <v>0.00000008000000093</v>
      </c>
      <c r="S254" s="2">
        <f t="shared" si="3"/>
        <v>0</v>
      </c>
      <c r="T254" s="2">
        <f t="shared" si="4"/>
        <v>0</v>
      </c>
      <c r="U254" s="2">
        <f t="shared" si="5"/>
        <v>100</v>
      </c>
      <c r="V254" s="2">
        <f t="shared" si="6"/>
        <v>100</v>
      </c>
      <c r="W254" s="2">
        <f t="shared" si="7"/>
        <v>100</v>
      </c>
      <c r="X254" s="2" t="str">
        <f t="shared" si="8"/>
        <v>full access</v>
      </c>
      <c r="Y254" s="2" t="str">
        <f t="shared" si="9"/>
        <v>full access</v>
      </c>
      <c r="Z254" s="2" t="str">
        <f t="shared" si="10"/>
        <v>full access</v>
      </c>
      <c r="AA254" s="2">
        <f t="shared" si="11"/>
        <v>0</v>
      </c>
      <c r="AB254" s="2">
        <f t="shared" si="12"/>
        <v>0</v>
      </c>
      <c r="AC254" s="2" t="str">
        <f>VLOOKUP(A254,Regions!$A$2:$B$233,2)</f>
        <v>Europe &amp; Central Asia</v>
      </c>
    </row>
    <row r="255">
      <c r="A255" s="1" t="s">
        <v>156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Q255" s="2" t="str">
        <f t="shared" si="1"/>
        <v/>
      </c>
      <c r="R255" s="2" t="str">
        <f t="shared" si="2"/>
        <v/>
      </c>
      <c r="S255" s="2" t="str">
        <f t="shared" si="3"/>
        <v/>
      </c>
      <c r="T255" s="2" t="str">
        <f t="shared" si="4"/>
        <v/>
      </c>
      <c r="U255" s="2">
        <f t="shared" si="5"/>
        <v>100</v>
      </c>
      <c r="V255" s="2">
        <f t="shared" si="6"/>
        <v>100</v>
      </c>
      <c r="W255" s="2">
        <f t="shared" si="7"/>
        <v>100</v>
      </c>
      <c r="X255" s="2" t="str">
        <f t="shared" si="8"/>
        <v/>
      </c>
      <c r="Y255" s="2" t="str">
        <f t="shared" si="9"/>
        <v/>
      </c>
      <c r="Z255" s="2" t="str">
        <f t="shared" si="10"/>
        <v/>
      </c>
      <c r="AA255" s="2">
        <f t="shared" si="11"/>
        <v>0</v>
      </c>
      <c r="AB255" s="2">
        <f t="shared" si="12"/>
        <v>0</v>
      </c>
      <c r="AC255" s="2" t="str">
        <f>VLOOKUP(A255,Regions!$A$2:$B$233,2)</f>
        <v>Europe &amp; Central Asia</v>
      </c>
    </row>
    <row r="256">
      <c r="A256" s="1" t="s">
        <v>157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2">
        <f t="shared" si="1"/>
        <v>5</v>
      </c>
      <c r="R256" s="2">
        <f t="shared" si="2"/>
        <v>0.045904672</v>
      </c>
      <c r="S256" s="2">
        <f t="shared" si="3"/>
        <v>0.030272</v>
      </c>
      <c r="T256" s="2">
        <f t="shared" si="4"/>
        <v>0.090284526</v>
      </c>
      <c r="U256" s="2">
        <f t="shared" si="5"/>
        <v>88</v>
      </c>
      <c r="V256" s="2">
        <f t="shared" si="6"/>
        <v>94</v>
      </c>
      <c r="W256" s="2">
        <f t="shared" si="7"/>
        <v>86</v>
      </c>
      <c r="X256" s="2" t="str">
        <f t="shared" si="8"/>
        <v/>
      </c>
      <c r="Y256" s="2" t="str">
        <f t="shared" si="9"/>
        <v/>
      </c>
      <c r="Z256" s="2" t="str">
        <f t="shared" si="10"/>
        <v/>
      </c>
      <c r="AA256" s="2">
        <f t="shared" si="11"/>
        <v>-0.060012526</v>
      </c>
      <c r="AB256" s="2">
        <f t="shared" si="12"/>
        <v>0.060012526</v>
      </c>
      <c r="AC256" s="2" t="str">
        <f>VLOOKUP(A256,Regions!$A$2:$B$233,2)</f>
        <v>East Asia &amp; Pacific</v>
      </c>
    </row>
    <row r="257">
      <c r="A257" s="1" t="s">
        <v>157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Q257" s="2" t="str">
        <f t="shared" si="1"/>
        <v/>
      </c>
      <c r="R257" s="2" t="str">
        <f t="shared" si="2"/>
        <v/>
      </c>
      <c r="S257" s="2" t="str">
        <f t="shared" si="3"/>
        <v/>
      </c>
      <c r="T257" s="2" t="str">
        <f t="shared" si="4"/>
        <v/>
      </c>
      <c r="U257" s="2">
        <f t="shared" si="5"/>
        <v>89</v>
      </c>
      <c r="V257" s="2">
        <f t="shared" si="6"/>
        <v>94</v>
      </c>
      <c r="W257" s="2">
        <f t="shared" si="7"/>
        <v>87</v>
      </c>
      <c r="X257" s="2" t="str">
        <f t="shared" si="8"/>
        <v/>
      </c>
      <c r="Y257" s="2" t="str">
        <f t="shared" si="9"/>
        <v/>
      </c>
      <c r="Z257" s="2" t="str">
        <f t="shared" si="10"/>
        <v/>
      </c>
      <c r="AA257" s="2">
        <f t="shared" si="11"/>
        <v>0</v>
      </c>
      <c r="AB257" s="2">
        <f t="shared" si="12"/>
        <v>0</v>
      </c>
      <c r="AC257" s="2" t="str">
        <f>VLOOKUP(A257,Regions!$A$2:$B$233,2)</f>
        <v>East Asia &amp; Pacific</v>
      </c>
    </row>
    <row r="258">
      <c r="A258" s="1" t="s">
        <v>158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33</v>
      </c>
      <c r="J258" s="1" t="s">
        <v>33</v>
      </c>
      <c r="K258" s="1" t="s">
        <v>33</v>
      </c>
      <c r="L258" s="1" t="s">
        <v>33</v>
      </c>
      <c r="M258" s="1" t="s">
        <v>33</v>
      </c>
      <c r="N258" s="1" t="s">
        <v>33</v>
      </c>
      <c r="O258" s="1" t="s">
        <v>33</v>
      </c>
      <c r="P258" s="1" t="s">
        <v>33</v>
      </c>
      <c r="Q258" s="2">
        <f t="shared" si="1"/>
        <v>5</v>
      </c>
      <c r="R258" s="2">
        <f t="shared" si="2"/>
        <v>0.009188156</v>
      </c>
      <c r="S258" s="2" t="str">
        <f t="shared" si="3"/>
        <v>null</v>
      </c>
      <c r="T258" s="2" t="str">
        <f t="shared" si="4"/>
        <v>null</v>
      </c>
      <c r="U258" s="2">
        <f t="shared" si="5"/>
        <v>100</v>
      </c>
      <c r="V258" s="2" t="str">
        <f t="shared" si="6"/>
        <v>null</v>
      </c>
      <c r="W258" s="2" t="str">
        <f t="shared" si="7"/>
        <v>null</v>
      </c>
      <c r="X258" s="2" t="str">
        <f t="shared" si="8"/>
        <v>full access</v>
      </c>
      <c r="Y258" s="2" t="str">
        <f t="shared" si="9"/>
        <v/>
      </c>
      <c r="Z258" s="2" t="str">
        <f t="shared" si="10"/>
        <v/>
      </c>
      <c r="AA258" s="2" t="str">
        <f t="shared" si="11"/>
        <v>null</v>
      </c>
      <c r="AB258" s="2" t="str">
        <f t="shared" si="12"/>
        <v>null</v>
      </c>
      <c r="AC258" s="2" t="str">
        <f>VLOOKUP(A258,Regions!$A$2:$B$233,2)</f>
        <v>Latin America &amp; Caribbean</v>
      </c>
    </row>
    <row r="259">
      <c r="A259" s="1" t="s">
        <v>158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33</v>
      </c>
      <c r="J259" s="1" t="s">
        <v>33</v>
      </c>
      <c r="K259" s="1" t="s">
        <v>33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33</v>
      </c>
      <c r="Q259" s="2" t="str">
        <f t="shared" si="1"/>
        <v/>
      </c>
      <c r="R259" s="2" t="str">
        <f t="shared" si="2"/>
        <v/>
      </c>
      <c r="S259" s="2" t="str">
        <f t="shared" si="3"/>
        <v/>
      </c>
      <c r="T259" s="2" t="str">
        <f t="shared" si="4"/>
        <v/>
      </c>
      <c r="U259" s="2">
        <f t="shared" si="5"/>
        <v>100</v>
      </c>
      <c r="V259" s="2" t="str">
        <f t="shared" si="6"/>
        <v>null</v>
      </c>
      <c r="W259" s="2" t="str">
        <f t="shared" si="7"/>
        <v>null</v>
      </c>
      <c r="X259" s="2" t="str">
        <f t="shared" si="8"/>
        <v/>
      </c>
      <c r="Y259" s="2" t="str">
        <f t="shared" si="9"/>
        <v/>
      </c>
      <c r="Z259" s="2" t="str">
        <f t="shared" si="10"/>
        <v/>
      </c>
      <c r="AA259" s="2">
        <f t="shared" si="11"/>
        <v>0</v>
      </c>
      <c r="AB259" s="2">
        <f t="shared" si="12"/>
        <v>0</v>
      </c>
      <c r="AC259" s="2" t="str">
        <f>VLOOKUP(A259,Regions!$A$2:$B$233,2)</f>
        <v>Latin America &amp; Caribbean</v>
      </c>
    </row>
    <row r="260">
      <c r="A260" s="1" t="s">
        <v>159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2">
        <f t="shared" si="1"/>
        <v>5</v>
      </c>
      <c r="R260" s="2">
        <f t="shared" si="2"/>
        <v>0.941547966</v>
      </c>
      <c r="S260" s="2">
        <f t="shared" si="3"/>
        <v>0.643699344</v>
      </c>
      <c r="T260" s="2">
        <f t="shared" si="4"/>
        <v>0.573901212</v>
      </c>
      <c r="U260" s="2">
        <f t="shared" si="5"/>
        <v>67</v>
      </c>
      <c r="V260" s="2">
        <f t="shared" si="6"/>
        <v>47</v>
      </c>
      <c r="W260" s="2">
        <f t="shared" si="7"/>
        <v>86</v>
      </c>
      <c r="X260" s="2" t="str">
        <f t="shared" si="8"/>
        <v/>
      </c>
      <c r="Y260" s="2" t="str">
        <f t="shared" si="9"/>
        <v/>
      </c>
      <c r="Z260" s="2" t="str">
        <f t="shared" si="10"/>
        <v/>
      </c>
      <c r="AA260" s="2">
        <f t="shared" si="11"/>
        <v>0.069798132</v>
      </c>
      <c r="AB260" s="2">
        <f t="shared" si="12"/>
        <v>0.069798132</v>
      </c>
      <c r="AC260" s="2" t="str">
        <f>VLOOKUP(A260,Regions!$A$2:$B$233,2)</f>
        <v>Sub-Saharan Africa</v>
      </c>
    </row>
    <row r="261">
      <c r="A261" s="1" t="s">
        <v>159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Q261" s="2" t="str">
        <f t="shared" si="1"/>
        <v/>
      </c>
      <c r="R261" s="2" t="str">
        <f t="shared" si="2"/>
        <v/>
      </c>
      <c r="S261" s="2" t="str">
        <f t="shared" si="3"/>
        <v/>
      </c>
      <c r="T261" s="2" t="str">
        <f t="shared" si="4"/>
        <v/>
      </c>
      <c r="U261" s="2">
        <f t="shared" si="5"/>
        <v>72</v>
      </c>
      <c r="V261" s="2">
        <f t="shared" si="6"/>
        <v>50</v>
      </c>
      <c r="W261" s="2">
        <f t="shared" si="7"/>
        <v>89</v>
      </c>
      <c r="X261" s="2" t="str">
        <f t="shared" si="8"/>
        <v/>
      </c>
      <c r="Y261" s="2" t="str">
        <f t="shared" si="9"/>
        <v/>
      </c>
      <c r="Z261" s="2" t="str">
        <f t="shared" si="10"/>
        <v/>
      </c>
      <c r="AA261" s="2">
        <f t="shared" si="11"/>
        <v>0</v>
      </c>
      <c r="AB261" s="2">
        <f t="shared" si="12"/>
        <v>0</v>
      </c>
      <c r="AC261" s="2" t="str">
        <f>VLOOKUP(A261,Regions!$A$2:$B$233,2)</f>
        <v>Sub-Saharan Africa</v>
      </c>
    </row>
    <row r="262">
      <c r="A262" s="1" t="s">
        <v>160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2">
        <f t="shared" si="1"/>
        <v>5</v>
      </c>
      <c r="R262" s="2">
        <f t="shared" si="2"/>
        <v>-0.000045424</v>
      </c>
      <c r="S262" s="2">
        <f t="shared" si="3"/>
        <v>0</v>
      </c>
      <c r="T262" s="2">
        <f t="shared" si="4"/>
        <v>0</v>
      </c>
      <c r="U262" s="2">
        <f t="shared" si="5"/>
        <v>100</v>
      </c>
      <c r="V262" s="2">
        <f t="shared" si="6"/>
        <v>100</v>
      </c>
      <c r="W262" s="2">
        <f t="shared" si="7"/>
        <v>100</v>
      </c>
      <c r="X262" s="2" t="str">
        <f t="shared" si="8"/>
        <v>full access</v>
      </c>
      <c r="Y262" s="2" t="str">
        <f t="shared" si="9"/>
        <v>full access</v>
      </c>
      <c r="Z262" s="2" t="str">
        <f t="shared" si="10"/>
        <v>full access</v>
      </c>
      <c r="AA262" s="2">
        <f t="shared" si="11"/>
        <v>0</v>
      </c>
      <c r="AB262" s="2">
        <f t="shared" si="12"/>
        <v>0</v>
      </c>
      <c r="AC262" s="2" t="str">
        <f>VLOOKUP(A262,Regions!$A$2:$B$233,2)</f>
        <v>Sub-Saharan Africa</v>
      </c>
    </row>
    <row r="263">
      <c r="A263" s="1" t="s">
        <v>160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Q263" s="2" t="str">
        <f t="shared" si="1"/>
        <v/>
      </c>
      <c r="R263" s="2" t="str">
        <f t="shared" si="2"/>
        <v/>
      </c>
      <c r="S263" s="2" t="str">
        <f t="shared" si="3"/>
        <v/>
      </c>
      <c r="T263" s="2" t="str">
        <f t="shared" si="4"/>
        <v/>
      </c>
      <c r="U263" s="2">
        <f t="shared" si="5"/>
        <v>100</v>
      </c>
      <c r="V263" s="2">
        <f t="shared" si="6"/>
        <v>100</v>
      </c>
      <c r="W263" s="2">
        <f t="shared" si="7"/>
        <v>100</v>
      </c>
      <c r="X263" s="2" t="str">
        <f t="shared" si="8"/>
        <v/>
      </c>
      <c r="Y263" s="2" t="str">
        <f t="shared" si="9"/>
        <v/>
      </c>
      <c r="Z263" s="2" t="str">
        <f t="shared" si="10"/>
        <v/>
      </c>
      <c r="AA263" s="2">
        <f t="shared" si="11"/>
        <v>0</v>
      </c>
      <c r="AB263" s="2">
        <f t="shared" si="12"/>
        <v>0</v>
      </c>
      <c r="AC263" s="2" t="str">
        <f>VLOOKUP(A263,Regions!$A$2:$B$233,2)</f>
        <v>Sub-Saharan Africa</v>
      </c>
    </row>
    <row r="264">
      <c r="A264" s="1" t="s">
        <v>161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33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  <c r="Q264" s="2">
        <f t="shared" si="1"/>
        <v>5</v>
      </c>
      <c r="R264" s="2">
        <f t="shared" si="2"/>
        <v>-0.093326314</v>
      </c>
      <c r="S264" s="2" t="str">
        <f t="shared" si="3"/>
        <v>null</v>
      </c>
      <c r="T264" s="2" t="str">
        <f t="shared" si="4"/>
        <v>null</v>
      </c>
      <c r="U264" s="2">
        <f t="shared" si="5"/>
        <v>97</v>
      </c>
      <c r="V264" s="2" t="str">
        <f t="shared" si="6"/>
        <v>null</v>
      </c>
      <c r="W264" s="2" t="str">
        <f t="shared" si="7"/>
        <v>null</v>
      </c>
      <c r="X264" s="2" t="str">
        <f t="shared" si="8"/>
        <v/>
      </c>
      <c r="Y264" s="2" t="str">
        <f t="shared" si="9"/>
        <v/>
      </c>
      <c r="Z264" s="2" t="str">
        <f t="shared" si="10"/>
        <v/>
      </c>
      <c r="AA264" s="2" t="str">
        <f t="shared" si="11"/>
        <v>null</v>
      </c>
      <c r="AB264" s="2" t="str">
        <f t="shared" si="12"/>
        <v>null</v>
      </c>
      <c r="AC264" s="2" t="str">
        <f>VLOOKUP(A264,Regions!$A$2:$B$233,2)</f>
        <v>Sub-Saharan Africa</v>
      </c>
    </row>
    <row r="265">
      <c r="A265" s="1" t="s">
        <v>161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33</v>
      </c>
      <c r="I265" s="1" t="s">
        <v>33</v>
      </c>
      <c r="J265" s="1" t="s">
        <v>33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  <c r="Q265" s="2" t="str">
        <f t="shared" si="1"/>
        <v/>
      </c>
      <c r="R265" s="2" t="str">
        <f t="shared" si="2"/>
        <v/>
      </c>
      <c r="S265" s="2" t="str">
        <f t="shared" si="3"/>
        <v/>
      </c>
      <c r="T265" s="2" t="str">
        <f t="shared" si="4"/>
        <v/>
      </c>
      <c r="U265" s="2">
        <f t="shared" si="5"/>
        <v>96</v>
      </c>
      <c r="V265" s="2" t="str">
        <f t="shared" si="6"/>
        <v>null</v>
      </c>
      <c r="W265" s="2" t="str">
        <f t="shared" si="7"/>
        <v>null</v>
      </c>
      <c r="X265" s="2" t="str">
        <f t="shared" si="8"/>
        <v/>
      </c>
      <c r="Y265" s="2" t="str">
        <f t="shared" si="9"/>
        <v/>
      </c>
      <c r="Z265" s="2" t="str">
        <f t="shared" si="10"/>
        <v/>
      </c>
      <c r="AA265" s="2">
        <f t="shared" si="11"/>
        <v>0</v>
      </c>
      <c r="AB265" s="2">
        <f t="shared" si="12"/>
        <v>0</v>
      </c>
      <c r="AC265" s="2" t="str">
        <f>VLOOKUP(A265,Regions!$A$2:$B$233,2)</f>
        <v>Sub-Saharan Africa</v>
      </c>
    </row>
    <row r="266">
      <c r="A266" s="1" t="s">
        <v>162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2">
        <f t="shared" si="1"/>
        <v>5</v>
      </c>
      <c r="R266" s="2">
        <f t="shared" si="2"/>
        <v>0.330824948</v>
      </c>
      <c r="S266" s="2">
        <f t="shared" si="3"/>
        <v>1.01007498</v>
      </c>
      <c r="T266" s="2">
        <f t="shared" si="4"/>
        <v>0.14728942</v>
      </c>
      <c r="U266" s="2">
        <f t="shared" si="5"/>
        <v>98</v>
      </c>
      <c r="V266" s="2">
        <f t="shared" si="6"/>
        <v>93</v>
      </c>
      <c r="W266" s="2">
        <f t="shared" si="7"/>
        <v>99</v>
      </c>
      <c r="X266" s="2" t="str">
        <f t="shared" si="8"/>
        <v/>
      </c>
      <c r="Y266" s="2" t="str">
        <f t="shared" si="9"/>
        <v/>
      </c>
      <c r="Z266" s="2" t="str">
        <f t="shared" si="10"/>
        <v/>
      </c>
      <c r="AA266" s="2">
        <f t="shared" si="11"/>
        <v>0.86278556</v>
      </c>
      <c r="AB266" s="2">
        <f t="shared" si="12"/>
        <v>0.86278556</v>
      </c>
      <c r="AC266" s="2" t="str">
        <f>VLOOKUP(A266,Regions!$A$2:$B$233,2)</f>
        <v>Latin America &amp; Caribbean</v>
      </c>
    </row>
    <row r="267">
      <c r="A267" s="1" t="s">
        <v>162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Q267" s="2" t="str">
        <f t="shared" si="1"/>
        <v/>
      </c>
      <c r="R267" s="2" t="str">
        <f t="shared" si="2"/>
        <v/>
      </c>
      <c r="S267" s="2" t="str">
        <f t="shared" si="3"/>
        <v/>
      </c>
      <c r="T267" s="2" t="str">
        <f t="shared" si="4"/>
        <v/>
      </c>
      <c r="U267" s="2">
        <f t="shared" si="5"/>
        <v>100</v>
      </c>
      <c r="V267" s="2">
        <f t="shared" si="6"/>
        <v>98</v>
      </c>
      <c r="W267" s="2">
        <f t="shared" si="7"/>
        <v>100</v>
      </c>
      <c r="X267" s="2" t="str">
        <f t="shared" si="8"/>
        <v/>
      </c>
      <c r="Y267" s="2" t="str">
        <f t="shared" si="9"/>
        <v/>
      </c>
      <c r="Z267" s="2" t="str">
        <f t="shared" si="10"/>
        <v/>
      </c>
      <c r="AA267" s="2">
        <f t="shared" si="11"/>
        <v>0</v>
      </c>
      <c r="AB267" s="2">
        <f t="shared" si="12"/>
        <v>0</v>
      </c>
      <c r="AC267" s="2" t="str">
        <f>VLOOKUP(A267,Regions!$A$2:$B$233,2)</f>
        <v>Latin America &amp; Caribbean</v>
      </c>
    </row>
    <row r="268">
      <c r="A268" s="1" t="s">
        <v>163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33</v>
      </c>
      <c r="I268" s="1" t="s">
        <v>33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33</v>
      </c>
      <c r="Q268" s="2">
        <f t="shared" si="1"/>
        <v>4</v>
      </c>
      <c r="R268" s="2">
        <f t="shared" si="2"/>
        <v>0</v>
      </c>
      <c r="S268" s="2" t="str">
        <f t="shared" si="3"/>
        <v>null</v>
      </c>
      <c r="T268" s="2" t="str">
        <f t="shared" si="4"/>
        <v>null</v>
      </c>
      <c r="U268" s="2">
        <f t="shared" si="5"/>
        <v>88</v>
      </c>
      <c r="V268" s="2" t="str">
        <f t="shared" si="6"/>
        <v>null</v>
      </c>
      <c r="W268" s="2" t="str">
        <f t="shared" si="7"/>
        <v>null</v>
      </c>
      <c r="X268" s="2" t="str">
        <f t="shared" si="8"/>
        <v/>
      </c>
      <c r="Y268" s="2" t="str">
        <f t="shared" si="9"/>
        <v/>
      </c>
      <c r="Z268" s="2" t="str">
        <f t="shared" si="10"/>
        <v/>
      </c>
      <c r="AA268" s="2" t="str">
        <f t="shared" si="11"/>
        <v>null</v>
      </c>
      <c r="AB268" s="2" t="str">
        <f t="shared" si="12"/>
        <v>null</v>
      </c>
      <c r="AC268" s="2" t="str">
        <f>VLOOKUP(A268,Regions!$A$2:$B$233,2)</f>
        <v>East Asia &amp; Pacific</v>
      </c>
    </row>
    <row r="269">
      <c r="A269" s="1" t="s">
        <v>163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33</v>
      </c>
      <c r="I269" s="1" t="s">
        <v>33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33</v>
      </c>
      <c r="Q269" s="2" t="str">
        <f t="shared" si="1"/>
        <v/>
      </c>
      <c r="R269" s="2" t="str">
        <f t="shared" si="2"/>
        <v/>
      </c>
      <c r="S269" s="2" t="str">
        <f t="shared" si="3"/>
        <v/>
      </c>
      <c r="T269" s="2" t="str">
        <f t="shared" si="4"/>
        <v/>
      </c>
      <c r="U269" s="2">
        <f t="shared" si="5"/>
        <v>88</v>
      </c>
      <c r="V269" s="2" t="str">
        <f t="shared" si="6"/>
        <v>null</v>
      </c>
      <c r="W269" s="2" t="str">
        <f t="shared" si="7"/>
        <v>null</v>
      </c>
      <c r="X269" s="2" t="str">
        <f t="shared" si="8"/>
        <v/>
      </c>
      <c r="Y269" s="2" t="str">
        <f t="shared" si="9"/>
        <v/>
      </c>
      <c r="Z269" s="2" t="str">
        <f t="shared" si="10"/>
        <v/>
      </c>
      <c r="AA269" s="2">
        <f t="shared" si="11"/>
        <v>0</v>
      </c>
      <c r="AB269" s="2">
        <f t="shared" si="12"/>
        <v>0</v>
      </c>
      <c r="AC269" s="2" t="str">
        <f>VLOOKUP(A269,Regions!$A$2:$B$233,2)</f>
        <v>East Asia &amp; Pacific</v>
      </c>
    </row>
    <row r="270">
      <c r="A270" s="1" t="s">
        <v>164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33</v>
      </c>
      <c r="J270" s="1" t="s">
        <v>33</v>
      </c>
      <c r="K270" s="1" t="s">
        <v>33</v>
      </c>
      <c r="L270" s="1" t="s">
        <v>33</v>
      </c>
      <c r="M270" s="1">
        <v>100.0</v>
      </c>
      <c r="N270" s="1">
        <v>0.0</v>
      </c>
      <c r="O270" s="1">
        <v>0.0</v>
      </c>
      <c r="P270" s="1">
        <v>0.0</v>
      </c>
      <c r="Q270" s="2">
        <f t="shared" si="1"/>
        <v>5</v>
      </c>
      <c r="R270" s="2">
        <f t="shared" si="2"/>
        <v>0</v>
      </c>
      <c r="S270" s="2" t="str">
        <f t="shared" si="3"/>
        <v>null</v>
      </c>
      <c r="T270" s="2">
        <f t="shared" si="4"/>
        <v>0</v>
      </c>
      <c r="U270" s="2">
        <f t="shared" si="5"/>
        <v>100</v>
      </c>
      <c r="V270" s="2" t="str">
        <f t="shared" si="6"/>
        <v>null</v>
      </c>
      <c r="W270" s="2">
        <f t="shared" si="7"/>
        <v>100</v>
      </c>
      <c r="X270" s="2" t="str">
        <f t="shared" si="8"/>
        <v>full access</v>
      </c>
      <c r="Y270" s="2" t="str">
        <f t="shared" si="9"/>
        <v/>
      </c>
      <c r="Z270" s="2" t="str">
        <f t="shared" si="10"/>
        <v>full access</v>
      </c>
      <c r="AA270" s="2" t="str">
        <f t="shared" si="11"/>
        <v>null</v>
      </c>
      <c r="AB270" s="2" t="str">
        <f t="shared" si="12"/>
        <v>null</v>
      </c>
      <c r="AC270" s="2" t="str">
        <f>VLOOKUP(A270,Regions!$A$2:$B$233,2)</f>
        <v>Europe &amp; Central Asia</v>
      </c>
    </row>
    <row r="271">
      <c r="A271" s="1" t="s">
        <v>164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33</v>
      </c>
      <c r="J271" s="1" t="s">
        <v>33</v>
      </c>
      <c r="K271" s="1" t="s">
        <v>33</v>
      </c>
      <c r="L271" s="1" t="s">
        <v>33</v>
      </c>
      <c r="M271" s="1">
        <v>100.0</v>
      </c>
      <c r="N271" s="1">
        <v>0.0</v>
      </c>
      <c r="O271" s="1">
        <v>0.0</v>
      </c>
      <c r="P271" s="1">
        <v>0.0</v>
      </c>
      <c r="Q271" s="2" t="str">
        <f t="shared" si="1"/>
        <v/>
      </c>
      <c r="R271" s="2" t="str">
        <f t="shared" si="2"/>
        <v/>
      </c>
      <c r="S271" s="2" t="str">
        <f t="shared" si="3"/>
        <v/>
      </c>
      <c r="T271" s="2" t="str">
        <f t="shared" si="4"/>
        <v/>
      </c>
      <c r="U271" s="2">
        <f t="shared" si="5"/>
        <v>100</v>
      </c>
      <c r="V271" s="2" t="str">
        <f t="shared" si="6"/>
        <v>null</v>
      </c>
      <c r="W271" s="2">
        <f t="shared" si="7"/>
        <v>100</v>
      </c>
      <c r="X271" s="2" t="str">
        <f t="shared" si="8"/>
        <v/>
      </c>
      <c r="Y271" s="2" t="str">
        <f t="shared" si="9"/>
        <v/>
      </c>
      <c r="Z271" s="2" t="str">
        <f t="shared" si="10"/>
        <v/>
      </c>
      <c r="AA271" s="2">
        <f t="shared" si="11"/>
        <v>0</v>
      </c>
      <c r="AB271" s="2">
        <f t="shared" si="12"/>
        <v>0</v>
      </c>
      <c r="AC271" s="2" t="str">
        <f>VLOOKUP(A271,Regions!$A$2:$B$233,2)</f>
        <v>Europe &amp; Central Asia</v>
      </c>
    </row>
    <row r="272">
      <c r="A272" s="1" t="s">
        <v>165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2">
        <f t="shared" si="1"/>
        <v>5</v>
      </c>
      <c r="R272" s="2">
        <f t="shared" si="2"/>
        <v>0.936522636</v>
      </c>
      <c r="S272" s="2">
        <f t="shared" si="3"/>
        <v>1.795372626</v>
      </c>
      <c r="T272" s="2">
        <f t="shared" si="4"/>
        <v>0.492087668</v>
      </c>
      <c r="U272" s="2">
        <f t="shared" si="5"/>
        <v>81</v>
      </c>
      <c r="V272" s="2">
        <f t="shared" si="6"/>
        <v>52</v>
      </c>
      <c r="W272" s="2">
        <f t="shared" si="7"/>
        <v>94</v>
      </c>
      <c r="X272" s="2" t="str">
        <f t="shared" si="8"/>
        <v/>
      </c>
      <c r="Y272" s="2" t="str">
        <f t="shared" si="9"/>
        <v/>
      </c>
      <c r="Z272" s="2" t="str">
        <f t="shared" si="10"/>
        <v/>
      </c>
      <c r="AA272" s="2">
        <f t="shared" si="11"/>
        <v>1.303284958</v>
      </c>
      <c r="AB272" s="2">
        <f t="shared" si="12"/>
        <v>1.303284958</v>
      </c>
      <c r="AC272" s="2" t="str">
        <f>VLOOKUP(A272,Regions!$A$2:$B$233,2)</f>
        <v>East Asia &amp; Pacific</v>
      </c>
    </row>
    <row r="273">
      <c r="A273" s="1" t="s">
        <v>165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Q273" s="2" t="str">
        <f t="shared" si="1"/>
        <v/>
      </c>
      <c r="R273" s="2" t="str">
        <f t="shared" si="2"/>
        <v/>
      </c>
      <c r="S273" s="2" t="str">
        <f t="shared" si="3"/>
        <v/>
      </c>
      <c r="T273" s="2" t="str">
        <f t="shared" si="4"/>
        <v/>
      </c>
      <c r="U273" s="2">
        <f t="shared" si="5"/>
        <v>85</v>
      </c>
      <c r="V273" s="2">
        <f t="shared" si="6"/>
        <v>61</v>
      </c>
      <c r="W273" s="2">
        <f t="shared" si="7"/>
        <v>97</v>
      </c>
      <c r="X273" s="2" t="str">
        <f t="shared" si="8"/>
        <v/>
      </c>
      <c r="Y273" s="2" t="str">
        <f t="shared" si="9"/>
        <v/>
      </c>
      <c r="Z273" s="2" t="str">
        <f t="shared" si="10"/>
        <v/>
      </c>
      <c r="AA273" s="2">
        <f t="shared" si="11"/>
        <v>0</v>
      </c>
      <c r="AB273" s="2">
        <f t="shared" si="12"/>
        <v>0</v>
      </c>
      <c r="AC273" s="2" t="str">
        <f>VLOOKUP(A273,Regions!$A$2:$B$233,2)</f>
        <v>East Asia &amp; Pacific</v>
      </c>
    </row>
    <row r="274">
      <c r="A274" s="1" t="s">
        <v>166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2">
        <f t="shared" si="1"/>
        <v>5</v>
      </c>
      <c r="R274" s="2">
        <f t="shared" si="2"/>
        <v>0.29312423</v>
      </c>
      <c r="S274" s="2">
        <f t="shared" si="3"/>
        <v>0.440245072</v>
      </c>
      <c r="T274" s="2">
        <f t="shared" si="4"/>
        <v>0.211412228</v>
      </c>
      <c r="U274" s="2">
        <f t="shared" si="5"/>
        <v>97</v>
      </c>
      <c r="V274" s="2">
        <f t="shared" si="6"/>
        <v>96</v>
      </c>
      <c r="W274" s="2">
        <f t="shared" si="7"/>
        <v>98</v>
      </c>
      <c r="X274" s="2" t="str">
        <f t="shared" si="8"/>
        <v/>
      </c>
      <c r="Y274" s="2" t="str">
        <f t="shared" si="9"/>
        <v/>
      </c>
      <c r="Z274" s="2" t="str">
        <f t="shared" si="10"/>
        <v/>
      </c>
      <c r="AA274" s="2">
        <f t="shared" si="11"/>
        <v>0.228832844</v>
      </c>
      <c r="AB274" s="2">
        <f t="shared" si="12"/>
        <v>0.228832844</v>
      </c>
      <c r="AC274" s="2" t="str">
        <f>VLOOKUP(A274,Regions!$A$2:$B$233,2)</f>
        <v>Europe &amp; Central Asia</v>
      </c>
    </row>
    <row r="275">
      <c r="A275" s="1" t="s">
        <v>166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Q275" s="2" t="str">
        <f t="shared" si="1"/>
        <v/>
      </c>
      <c r="R275" s="2" t="str">
        <f t="shared" si="2"/>
        <v/>
      </c>
      <c r="S275" s="2" t="str">
        <f t="shared" si="3"/>
        <v/>
      </c>
      <c r="T275" s="2" t="str">
        <f t="shared" si="4"/>
        <v/>
      </c>
      <c r="U275" s="2">
        <f t="shared" si="5"/>
        <v>99</v>
      </c>
      <c r="V275" s="2">
        <f t="shared" si="6"/>
        <v>98</v>
      </c>
      <c r="W275" s="2">
        <f t="shared" si="7"/>
        <v>99</v>
      </c>
      <c r="X275" s="2" t="str">
        <f t="shared" si="8"/>
        <v/>
      </c>
      <c r="Y275" s="2" t="str">
        <f t="shared" si="9"/>
        <v/>
      </c>
      <c r="Z275" s="2" t="str">
        <f t="shared" si="10"/>
        <v/>
      </c>
      <c r="AA275" s="2">
        <f t="shared" si="11"/>
        <v>0</v>
      </c>
      <c r="AB275" s="2">
        <f t="shared" si="12"/>
        <v>0</v>
      </c>
      <c r="AC275" s="2" t="str">
        <f>VLOOKUP(A275,Regions!$A$2:$B$233,2)</f>
        <v>Europe &amp; Central Asia</v>
      </c>
    </row>
    <row r="276">
      <c r="A276" s="1" t="s">
        <v>167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33</v>
      </c>
      <c r="J276" s="1" t="s">
        <v>33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33</v>
      </c>
      <c r="P276" s="1" t="s">
        <v>33</v>
      </c>
      <c r="Q276" s="2">
        <f t="shared" si="1"/>
        <v>5</v>
      </c>
      <c r="R276" s="2">
        <f t="shared" si="2"/>
        <v>0.001332412</v>
      </c>
      <c r="S276" s="2" t="str">
        <f t="shared" si="3"/>
        <v>null</v>
      </c>
      <c r="T276" s="2" t="str">
        <f t="shared" si="4"/>
        <v>null</v>
      </c>
      <c r="U276" s="2">
        <f t="shared" si="5"/>
        <v>98</v>
      </c>
      <c r="V276" s="2" t="str">
        <f t="shared" si="6"/>
        <v>null</v>
      </c>
      <c r="W276" s="2" t="str">
        <f t="shared" si="7"/>
        <v>null</v>
      </c>
      <c r="X276" s="2" t="str">
        <f t="shared" si="8"/>
        <v/>
      </c>
      <c r="Y276" s="2" t="str">
        <f t="shared" si="9"/>
        <v/>
      </c>
      <c r="Z276" s="2" t="str">
        <f t="shared" si="10"/>
        <v/>
      </c>
      <c r="AA276" s="2" t="str">
        <f t="shared" si="11"/>
        <v>null</v>
      </c>
      <c r="AB276" s="2" t="str">
        <f t="shared" si="12"/>
        <v>null</v>
      </c>
      <c r="AC276" s="2" t="str">
        <f>VLOOKUP(A276,Regions!$A$2:$B$233,2)</f>
        <v>Latin America &amp; Caribbean</v>
      </c>
    </row>
    <row r="277">
      <c r="A277" s="1" t="s">
        <v>167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33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33</v>
      </c>
      <c r="Q277" s="2" t="str">
        <f t="shared" si="1"/>
        <v/>
      </c>
      <c r="R277" s="2" t="str">
        <f t="shared" si="2"/>
        <v/>
      </c>
      <c r="S277" s="2" t="str">
        <f t="shared" si="3"/>
        <v/>
      </c>
      <c r="T277" s="2" t="str">
        <f t="shared" si="4"/>
        <v/>
      </c>
      <c r="U277" s="2">
        <f t="shared" si="5"/>
        <v>98</v>
      </c>
      <c r="V277" s="2" t="str">
        <f t="shared" si="6"/>
        <v>null</v>
      </c>
      <c r="W277" s="2" t="str">
        <f t="shared" si="7"/>
        <v>null</v>
      </c>
      <c r="X277" s="2" t="str">
        <f t="shared" si="8"/>
        <v/>
      </c>
      <c r="Y277" s="2" t="str">
        <f t="shared" si="9"/>
        <v/>
      </c>
      <c r="Z277" s="2" t="str">
        <f t="shared" si="10"/>
        <v/>
      </c>
      <c r="AA277" s="2">
        <f t="shared" si="11"/>
        <v>0</v>
      </c>
      <c r="AB277" s="2">
        <f t="shared" si="12"/>
        <v>0</v>
      </c>
      <c r="AC277" s="2" t="str">
        <f>VLOOKUP(A277,Regions!$A$2:$B$233,2)</f>
        <v>Latin America &amp; Caribbean</v>
      </c>
    </row>
    <row r="278">
      <c r="A278" s="1" t="s">
        <v>168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2">
        <f t="shared" si="1"/>
        <v>5</v>
      </c>
      <c r="R278" s="2">
        <f t="shared" si="2"/>
        <v>1.33024236</v>
      </c>
      <c r="S278" s="2">
        <f t="shared" si="3"/>
        <v>2.634720044</v>
      </c>
      <c r="T278" s="2">
        <f t="shared" si="4"/>
        <v>0.305466198</v>
      </c>
      <c r="U278" s="2">
        <f t="shared" si="5"/>
        <v>84</v>
      </c>
      <c r="V278" s="2">
        <f t="shared" si="6"/>
        <v>64</v>
      </c>
      <c r="W278" s="2">
        <f t="shared" si="7"/>
        <v>96</v>
      </c>
      <c r="X278" s="2" t="str">
        <f t="shared" si="8"/>
        <v/>
      </c>
      <c r="Y278" s="2" t="str">
        <f t="shared" si="9"/>
        <v/>
      </c>
      <c r="Z278" s="2" t="str">
        <f t="shared" si="10"/>
        <v/>
      </c>
      <c r="AA278" s="2">
        <f t="shared" si="11"/>
        <v>2.329253846</v>
      </c>
      <c r="AB278" s="2">
        <f t="shared" si="12"/>
        <v>2.329253846</v>
      </c>
      <c r="AC278" s="2" t="str">
        <f>VLOOKUP(A278,Regions!$A$2:$B$233,2)</f>
        <v>Middle East &amp; North Africa</v>
      </c>
    </row>
    <row r="279">
      <c r="A279" s="1" t="s">
        <v>168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Q279" s="2" t="str">
        <f t="shared" si="1"/>
        <v/>
      </c>
      <c r="R279" s="2" t="str">
        <f t="shared" si="2"/>
        <v/>
      </c>
      <c r="S279" s="2" t="str">
        <f t="shared" si="3"/>
        <v/>
      </c>
      <c r="T279" s="2" t="str">
        <f t="shared" si="4"/>
        <v/>
      </c>
      <c r="U279" s="2">
        <f t="shared" si="5"/>
        <v>90</v>
      </c>
      <c r="V279" s="2">
        <f t="shared" si="6"/>
        <v>77</v>
      </c>
      <c r="W279" s="2">
        <f t="shared" si="7"/>
        <v>98</v>
      </c>
      <c r="X279" s="2" t="str">
        <f t="shared" si="8"/>
        <v/>
      </c>
      <c r="Y279" s="2" t="str">
        <f t="shared" si="9"/>
        <v/>
      </c>
      <c r="Z279" s="2" t="str">
        <f t="shared" si="10"/>
        <v/>
      </c>
      <c r="AA279" s="2">
        <f t="shared" si="11"/>
        <v>0</v>
      </c>
      <c r="AB279" s="2">
        <f t="shared" si="12"/>
        <v>0</v>
      </c>
      <c r="AC279" s="2" t="str">
        <f>VLOOKUP(A279,Regions!$A$2:$B$233,2)</f>
        <v>Middle East &amp; North Africa</v>
      </c>
    </row>
    <row r="280">
      <c r="A280" s="1" t="s">
        <v>169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2">
        <f t="shared" si="1"/>
        <v>5</v>
      </c>
      <c r="R280" s="2">
        <f t="shared" si="2"/>
        <v>2.438650084</v>
      </c>
      <c r="S280" s="2">
        <f t="shared" si="3"/>
        <v>2.579061548</v>
      </c>
      <c r="T280" s="2">
        <f t="shared" si="4"/>
        <v>1.562736418</v>
      </c>
      <c r="U280" s="2">
        <f t="shared" si="5"/>
        <v>51</v>
      </c>
      <c r="V280" s="2">
        <f t="shared" si="6"/>
        <v>36</v>
      </c>
      <c r="W280" s="2">
        <f t="shared" si="7"/>
        <v>80</v>
      </c>
      <c r="X280" s="2" t="str">
        <f t="shared" si="8"/>
        <v/>
      </c>
      <c r="Y280" s="2" t="str">
        <f t="shared" si="9"/>
        <v/>
      </c>
      <c r="Z280" s="2" t="str">
        <f t="shared" si="10"/>
        <v/>
      </c>
      <c r="AA280" s="2">
        <f t="shared" si="11"/>
        <v>1.01632513</v>
      </c>
      <c r="AB280" s="2">
        <f t="shared" si="12"/>
        <v>1.01632513</v>
      </c>
      <c r="AC280" s="2" t="str">
        <f>VLOOKUP(A280,Regions!$A$2:$B$233,2)</f>
        <v>Sub-Saharan Africa</v>
      </c>
    </row>
    <row r="281">
      <c r="A281" s="1" t="s">
        <v>169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Q281" s="2" t="str">
        <f t="shared" si="1"/>
        <v/>
      </c>
      <c r="R281" s="2" t="str">
        <f t="shared" si="2"/>
        <v/>
      </c>
      <c r="S281" s="2" t="str">
        <f t="shared" si="3"/>
        <v/>
      </c>
      <c r="T281" s="2" t="str">
        <f t="shared" si="4"/>
        <v/>
      </c>
      <c r="U281" s="2">
        <f t="shared" si="5"/>
        <v>63</v>
      </c>
      <c r="V281" s="2">
        <f t="shared" si="6"/>
        <v>49</v>
      </c>
      <c r="W281" s="2">
        <f t="shared" si="7"/>
        <v>88</v>
      </c>
      <c r="X281" s="2" t="str">
        <f t="shared" si="8"/>
        <v/>
      </c>
      <c r="Y281" s="2" t="str">
        <f t="shared" si="9"/>
        <v/>
      </c>
      <c r="Z281" s="2" t="str">
        <f t="shared" si="10"/>
        <v/>
      </c>
      <c r="AA281" s="2">
        <f t="shared" si="11"/>
        <v>0</v>
      </c>
      <c r="AB281" s="2">
        <f t="shared" si="12"/>
        <v>0</v>
      </c>
      <c r="AC281" s="2" t="str">
        <f>VLOOKUP(A281,Regions!$A$2:$B$233,2)</f>
        <v>Sub-Saharan Africa</v>
      </c>
    </row>
    <row r="282">
      <c r="A282" s="1" t="s">
        <v>170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2">
        <f t="shared" si="1"/>
        <v>5</v>
      </c>
      <c r="R282" s="2">
        <f t="shared" si="2"/>
        <v>2.026144282</v>
      </c>
      <c r="S282" s="2">
        <f t="shared" si="3"/>
        <v>2.23459023</v>
      </c>
      <c r="T282" s="2">
        <f t="shared" si="4"/>
        <v>1.390321954</v>
      </c>
      <c r="U282" s="2">
        <f t="shared" si="5"/>
        <v>74</v>
      </c>
      <c r="V282" s="2">
        <f t="shared" si="6"/>
        <v>67</v>
      </c>
      <c r="W282" s="2">
        <f t="shared" si="7"/>
        <v>88</v>
      </c>
      <c r="X282" s="2" t="str">
        <f t="shared" si="8"/>
        <v/>
      </c>
      <c r="Y282" s="2" t="str">
        <f t="shared" si="9"/>
        <v/>
      </c>
      <c r="Z282" s="2" t="str">
        <f t="shared" si="10"/>
        <v/>
      </c>
      <c r="AA282" s="2">
        <f t="shared" si="11"/>
        <v>0.844268276</v>
      </c>
      <c r="AB282" s="2">
        <f t="shared" si="12"/>
        <v>0.844268276</v>
      </c>
      <c r="AC282" s="2" t="str">
        <f>VLOOKUP(A282,Regions!$A$2:$B$233,2)</f>
        <v>East Asia &amp; Pacific</v>
      </c>
    </row>
    <row r="283">
      <c r="A283" s="1" t="s">
        <v>170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Q283" s="2" t="str">
        <f t="shared" si="1"/>
        <v/>
      </c>
      <c r="R283" s="2" t="str">
        <f t="shared" si="2"/>
        <v/>
      </c>
      <c r="S283" s="2" t="str">
        <f t="shared" si="3"/>
        <v/>
      </c>
      <c r="T283" s="2" t="str">
        <f t="shared" si="4"/>
        <v/>
      </c>
      <c r="U283" s="2">
        <f t="shared" si="5"/>
        <v>84</v>
      </c>
      <c r="V283" s="2">
        <f t="shared" si="6"/>
        <v>78</v>
      </c>
      <c r="W283" s="2">
        <f t="shared" si="7"/>
        <v>95</v>
      </c>
      <c r="X283" s="2" t="str">
        <f t="shared" si="8"/>
        <v/>
      </c>
      <c r="Y283" s="2" t="str">
        <f t="shared" si="9"/>
        <v/>
      </c>
      <c r="Z283" s="2" t="str">
        <f t="shared" si="10"/>
        <v/>
      </c>
      <c r="AA283" s="2">
        <f t="shared" si="11"/>
        <v>0</v>
      </c>
      <c r="AB283" s="2">
        <f t="shared" si="12"/>
        <v>0</v>
      </c>
      <c r="AC283" s="2" t="str">
        <f>VLOOKUP(A283,Regions!$A$2:$B$233,2)</f>
        <v>East Asia &amp; Pacific</v>
      </c>
    </row>
    <row r="284">
      <c r="A284" s="1" t="s">
        <v>171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2">
        <f t="shared" si="1"/>
        <v>5</v>
      </c>
      <c r="R284" s="2">
        <f t="shared" si="2"/>
        <v>0.349180226</v>
      </c>
      <c r="S284" s="2">
        <f t="shared" si="3"/>
        <v>0.22302721</v>
      </c>
      <c r="T284" s="2">
        <f t="shared" si="4"/>
        <v>-0.055454054</v>
      </c>
      <c r="U284" s="2">
        <f t="shared" si="5"/>
        <v>83</v>
      </c>
      <c r="V284" s="2">
        <f t="shared" si="6"/>
        <v>70</v>
      </c>
      <c r="W284" s="2">
        <f t="shared" si="7"/>
        <v>97</v>
      </c>
      <c r="X284" s="2" t="str">
        <f t="shared" si="8"/>
        <v/>
      </c>
      <c r="Y284" s="2" t="str">
        <f t="shared" si="9"/>
        <v/>
      </c>
      <c r="Z284" s="2" t="str">
        <f t="shared" si="10"/>
        <v/>
      </c>
      <c r="AA284" s="2">
        <f t="shared" si="11"/>
        <v>0.278481264</v>
      </c>
      <c r="AB284" s="2">
        <f t="shared" si="12"/>
        <v>0.278481264</v>
      </c>
      <c r="AC284" s="2" t="str">
        <f>VLOOKUP(A284,Regions!$A$2:$B$233,2)</f>
        <v>Sub-Saharan Africa</v>
      </c>
    </row>
    <row r="285">
      <c r="A285" s="1" t="s">
        <v>171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Q285" s="2" t="str">
        <f t="shared" si="1"/>
        <v/>
      </c>
      <c r="R285" s="2" t="str">
        <f t="shared" si="2"/>
        <v/>
      </c>
      <c r="S285" s="2" t="str">
        <f t="shared" si="3"/>
        <v/>
      </c>
      <c r="T285" s="2" t="str">
        <f t="shared" si="4"/>
        <v/>
      </c>
      <c r="U285" s="2">
        <f t="shared" si="5"/>
        <v>84</v>
      </c>
      <c r="V285" s="2">
        <f t="shared" si="6"/>
        <v>71</v>
      </c>
      <c r="W285" s="2">
        <f t="shared" si="7"/>
        <v>96</v>
      </c>
      <c r="X285" s="2" t="str">
        <f t="shared" si="8"/>
        <v/>
      </c>
      <c r="Y285" s="2" t="str">
        <f t="shared" si="9"/>
        <v/>
      </c>
      <c r="Z285" s="2" t="str">
        <f t="shared" si="10"/>
        <v/>
      </c>
      <c r="AA285" s="2">
        <f t="shared" si="11"/>
        <v>0</v>
      </c>
      <c r="AB285" s="2">
        <f t="shared" si="12"/>
        <v>0</v>
      </c>
      <c r="AC285" s="2" t="str">
        <f>VLOOKUP(A285,Regions!$A$2:$B$233,2)</f>
        <v>Sub-Saharan Africa</v>
      </c>
    </row>
    <row r="286">
      <c r="A286" s="1" t="s">
        <v>172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33</v>
      </c>
      <c r="J286" s="1" t="s">
        <v>33</v>
      </c>
      <c r="K286" s="1" t="s">
        <v>33</v>
      </c>
      <c r="L286" s="1" t="s">
        <v>33</v>
      </c>
      <c r="M286" s="1">
        <v>100.0</v>
      </c>
      <c r="N286" s="1">
        <v>0.0</v>
      </c>
      <c r="O286" s="1">
        <v>0.0</v>
      </c>
      <c r="P286" s="1">
        <v>0.0</v>
      </c>
      <c r="Q286" s="2">
        <f t="shared" si="1"/>
        <v>5</v>
      </c>
      <c r="R286" s="2">
        <f t="shared" si="2"/>
        <v>0</v>
      </c>
      <c r="S286" s="2" t="str">
        <f t="shared" si="3"/>
        <v>null</v>
      </c>
      <c r="T286" s="2">
        <f t="shared" si="4"/>
        <v>0</v>
      </c>
      <c r="U286" s="2">
        <f t="shared" si="5"/>
        <v>100</v>
      </c>
      <c r="V286" s="2" t="str">
        <f t="shared" si="6"/>
        <v>null</v>
      </c>
      <c r="W286" s="2">
        <f t="shared" si="7"/>
        <v>100</v>
      </c>
      <c r="X286" s="2" t="str">
        <f t="shared" si="8"/>
        <v>full access</v>
      </c>
      <c r="Y286" s="2" t="str">
        <f t="shared" si="9"/>
        <v/>
      </c>
      <c r="Z286" s="2" t="str">
        <f t="shared" si="10"/>
        <v>full access</v>
      </c>
      <c r="AA286" s="2" t="str">
        <f t="shared" si="11"/>
        <v>null</v>
      </c>
      <c r="AB286" s="2" t="str">
        <f t="shared" si="12"/>
        <v>null</v>
      </c>
      <c r="AC286" s="2" t="str">
        <f>VLOOKUP(A286,Regions!$A$2:$B$233,2)</f>
        <v>East Asia &amp; Pacific</v>
      </c>
    </row>
    <row r="287">
      <c r="A287" s="1" t="s">
        <v>172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33</v>
      </c>
      <c r="J287" s="1" t="s">
        <v>33</v>
      </c>
      <c r="K287" s="1" t="s">
        <v>33</v>
      </c>
      <c r="L287" s="1" t="s">
        <v>33</v>
      </c>
      <c r="M287" s="1">
        <v>100.0</v>
      </c>
      <c r="N287" s="1">
        <v>0.0</v>
      </c>
      <c r="O287" s="1">
        <v>0.0</v>
      </c>
      <c r="P287" s="1">
        <v>0.0</v>
      </c>
      <c r="Q287" s="2" t="str">
        <f t="shared" si="1"/>
        <v/>
      </c>
      <c r="R287" s="2" t="str">
        <f t="shared" si="2"/>
        <v/>
      </c>
      <c r="S287" s="2" t="str">
        <f t="shared" si="3"/>
        <v/>
      </c>
      <c r="T287" s="2" t="str">
        <f t="shared" si="4"/>
        <v/>
      </c>
      <c r="U287" s="2">
        <f t="shared" si="5"/>
        <v>100</v>
      </c>
      <c r="V287" s="2" t="str">
        <f t="shared" si="6"/>
        <v>null</v>
      </c>
      <c r="W287" s="2">
        <f t="shared" si="7"/>
        <v>100</v>
      </c>
      <c r="X287" s="2" t="str">
        <f t="shared" si="8"/>
        <v/>
      </c>
      <c r="Y287" s="2" t="str">
        <f t="shared" si="9"/>
        <v/>
      </c>
      <c r="Z287" s="2" t="str">
        <f t="shared" si="10"/>
        <v/>
      </c>
      <c r="AA287" s="2">
        <f t="shared" si="11"/>
        <v>0</v>
      </c>
      <c r="AB287" s="2">
        <f t="shared" si="12"/>
        <v>0</v>
      </c>
      <c r="AC287" s="2" t="str">
        <f>VLOOKUP(A287,Regions!$A$2:$B$233,2)</f>
        <v>East Asia &amp; Pacific</v>
      </c>
    </row>
    <row r="288">
      <c r="A288" s="1" t="s">
        <v>173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2">
        <f t="shared" si="1"/>
        <v>5</v>
      </c>
      <c r="R288" s="2">
        <f t="shared" si="2"/>
        <v>0.45321484</v>
      </c>
      <c r="S288" s="2">
        <f t="shared" si="3"/>
        <v>0.592258402</v>
      </c>
      <c r="T288" s="2">
        <f t="shared" si="4"/>
        <v>-0.143407588</v>
      </c>
      <c r="U288" s="2">
        <f t="shared" si="5"/>
        <v>88</v>
      </c>
      <c r="V288" s="2">
        <f t="shared" si="6"/>
        <v>87</v>
      </c>
      <c r="W288" s="2">
        <f t="shared" si="7"/>
        <v>90</v>
      </c>
      <c r="X288" s="2" t="str">
        <f t="shared" si="8"/>
        <v/>
      </c>
      <c r="Y288" s="2" t="str">
        <f t="shared" si="9"/>
        <v/>
      </c>
      <c r="Z288" s="2" t="str">
        <f t="shared" si="10"/>
        <v/>
      </c>
      <c r="AA288" s="2">
        <f t="shared" si="11"/>
        <v>0.73566599</v>
      </c>
      <c r="AB288" s="2">
        <f t="shared" si="12"/>
        <v>0.73566599</v>
      </c>
      <c r="AC288" s="2" t="str">
        <f>VLOOKUP(A288,Regions!$A$2:$B$233,2)</f>
        <v>South Asia</v>
      </c>
    </row>
    <row r="289">
      <c r="A289" s="1" t="s">
        <v>173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Q289" s="2" t="str">
        <f t="shared" si="1"/>
        <v/>
      </c>
      <c r="R289" s="2" t="str">
        <f t="shared" si="2"/>
        <v/>
      </c>
      <c r="S289" s="2" t="str">
        <f t="shared" si="3"/>
        <v/>
      </c>
      <c r="T289" s="2" t="str">
        <f t="shared" si="4"/>
        <v/>
      </c>
      <c r="U289" s="2">
        <f t="shared" si="5"/>
        <v>90</v>
      </c>
      <c r="V289" s="2">
        <f t="shared" si="6"/>
        <v>90</v>
      </c>
      <c r="W289" s="2">
        <f t="shared" si="7"/>
        <v>90</v>
      </c>
      <c r="X289" s="2" t="str">
        <f t="shared" si="8"/>
        <v/>
      </c>
      <c r="Y289" s="2" t="str">
        <f t="shared" si="9"/>
        <v/>
      </c>
      <c r="Z289" s="2" t="str">
        <f t="shared" si="10"/>
        <v/>
      </c>
      <c r="AA289" s="2">
        <f t="shared" si="11"/>
        <v>0</v>
      </c>
      <c r="AB289" s="2">
        <f t="shared" si="12"/>
        <v>0</v>
      </c>
      <c r="AC289" s="2" t="str">
        <f>VLOOKUP(A289,Regions!$A$2:$B$233,2)</f>
        <v>South Asia</v>
      </c>
    </row>
    <row r="290">
      <c r="A290" s="1" t="s">
        <v>174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2">
        <f t="shared" si="1"/>
        <v>5</v>
      </c>
      <c r="R290" s="2">
        <f t="shared" si="2"/>
        <v>0.0000001460000021</v>
      </c>
      <c r="S290" s="2">
        <f t="shared" si="3"/>
        <v>0</v>
      </c>
      <c r="T290" s="2">
        <f t="shared" si="4"/>
        <v>0</v>
      </c>
      <c r="U290" s="2">
        <f t="shared" si="5"/>
        <v>100</v>
      </c>
      <c r="V290" s="2">
        <f t="shared" si="6"/>
        <v>100</v>
      </c>
      <c r="W290" s="2">
        <f t="shared" si="7"/>
        <v>100</v>
      </c>
      <c r="X290" s="2" t="str">
        <f t="shared" si="8"/>
        <v>full access</v>
      </c>
      <c r="Y290" s="2" t="str">
        <f t="shared" si="9"/>
        <v>full access</v>
      </c>
      <c r="Z290" s="2" t="str">
        <f t="shared" si="10"/>
        <v>full access</v>
      </c>
      <c r="AA290" s="2">
        <f t="shared" si="11"/>
        <v>0</v>
      </c>
      <c r="AB290" s="2">
        <f t="shared" si="12"/>
        <v>0</v>
      </c>
      <c r="AC290" s="2" t="str">
        <f>VLOOKUP(A290,Regions!$A$2:$B$233,2)</f>
        <v>Europe &amp; Central Asia</v>
      </c>
    </row>
    <row r="291">
      <c r="A291" s="1" t="s">
        <v>174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Q291" s="2" t="str">
        <f t="shared" si="1"/>
        <v/>
      </c>
      <c r="R291" s="2" t="str">
        <f t="shared" si="2"/>
        <v/>
      </c>
      <c r="S291" s="2" t="str">
        <f t="shared" si="3"/>
        <v/>
      </c>
      <c r="T291" s="2" t="str">
        <f t="shared" si="4"/>
        <v/>
      </c>
      <c r="U291" s="2">
        <f t="shared" si="5"/>
        <v>100</v>
      </c>
      <c r="V291" s="2">
        <f t="shared" si="6"/>
        <v>100</v>
      </c>
      <c r="W291" s="2">
        <f t="shared" si="7"/>
        <v>100</v>
      </c>
      <c r="X291" s="2" t="str">
        <f t="shared" si="8"/>
        <v/>
      </c>
      <c r="Y291" s="2" t="str">
        <f t="shared" si="9"/>
        <v/>
      </c>
      <c r="Z291" s="2" t="str">
        <f t="shared" si="10"/>
        <v/>
      </c>
      <c r="AA291" s="2">
        <f t="shared" si="11"/>
        <v>0</v>
      </c>
      <c r="AB291" s="2">
        <f t="shared" si="12"/>
        <v>0</v>
      </c>
      <c r="AC291" s="2" t="str">
        <f>VLOOKUP(A291,Regions!$A$2:$B$233,2)</f>
        <v>Europe &amp; Central Asia</v>
      </c>
    </row>
    <row r="292">
      <c r="A292" s="1" t="s">
        <v>175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33</v>
      </c>
      <c r="J292" s="1" t="s">
        <v>33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33</v>
      </c>
      <c r="Q292" s="2">
        <f t="shared" si="1"/>
        <v>5</v>
      </c>
      <c r="R292" s="2">
        <f t="shared" si="2"/>
        <v>0.233352416</v>
      </c>
      <c r="S292" s="2" t="str">
        <f t="shared" si="3"/>
        <v>null</v>
      </c>
      <c r="T292" s="2" t="str">
        <f t="shared" si="4"/>
        <v>null</v>
      </c>
      <c r="U292" s="2">
        <f t="shared" si="5"/>
        <v>98</v>
      </c>
      <c r="V292" s="2" t="str">
        <f t="shared" si="6"/>
        <v>null</v>
      </c>
      <c r="W292" s="2" t="str">
        <f t="shared" si="7"/>
        <v>null</v>
      </c>
      <c r="X292" s="2" t="str">
        <f t="shared" si="8"/>
        <v/>
      </c>
      <c r="Y292" s="2" t="str">
        <f t="shared" si="9"/>
        <v/>
      </c>
      <c r="Z292" s="2" t="str">
        <f t="shared" si="10"/>
        <v/>
      </c>
      <c r="AA292" s="2" t="str">
        <f t="shared" si="11"/>
        <v>null</v>
      </c>
      <c r="AB292" s="2" t="str">
        <f t="shared" si="12"/>
        <v>null</v>
      </c>
      <c r="AC292" s="2" t="str">
        <f>VLOOKUP(A292,Regions!$A$2:$B$233,2)</f>
        <v>East Asia &amp; Pacific</v>
      </c>
    </row>
    <row r="293">
      <c r="A293" s="1" t="s">
        <v>175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33</v>
      </c>
      <c r="J293" s="1" t="s">
        <v>33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33</v>
      </c>
      <c r="Q293" s="2" t="str">
        <f t="shared" si="1"/>
        <v/>
      </c>
      <c r="R293" s="2" t="str">
        <f t="shared" si="2"/>
        <v/>
      </c>
      <c r="S293" s="2" t="str">
        <f t="shared" si="3"/>
        <v/>
      </c>
      <c r="T293" s="2" t="str">
        <f t="shared" si="4"/>
        <v/>
      </c>
      <c r="U293" s="2">
        <f t="shared" si="5"/>
        <v>99</v>
      </c>
      <c r="V293" s="2" t="str">
        <f t="shared" si="6"/>
        <v>null</v>
      </c>
      <c r="W293" s="2" t="str">
        <f t="shared" si="7"/>
        <v>null</v>
      </c>
      <c r="X293" s="2" t="str">
        <f t="shared" si="8"/>
        <v/>
      </c>
      <c r="Y293" s="2" t="str">
        <f t="shared" si="9"/>
        <v/>
      </c>
      <c r="Z293" s="2" t="str">
        <f t="shared" si="10"/>
        <v/>
      </c>
      <c r="AA293" s="2">
        <f t="shared" si="11"/>
        <v>0</v>
      </c>
      <c r="AB293" s="2">
        <f t="shared" si="12"/>
        <v>0</v>
      </c>
      <c r="AC293" s="2" t="str">
        <f>VLOOKUP(A293,Regions!$A$2:$B$233,2)</f>
        <v>East Asia &amp; Pacific</v>
      </c>
    </row>
    <row r="294">
      <c r="A294" s="1" t="s">
        <v>176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2">
        <f t="shared" si="1"/>
        <v>5</v>
      </c>
      <c r="R294" s="2">
        <f t="shared" si="2"/>
        <v>0.0000007899999986</v>
      </c>
      <c r="S294" s="2">
        <f t="shared" si="3"/>
        <v>0</v>
      </c>
      <c r="T294" s="2">
        <f t="shared" si="4"/>
        <v>0</v>
      </c>
      <c r="U294" s="2">
        <f t="shared" si="5"/>
        <v>100</v>
      </c>
      <c r="V294" s="2">
        <f t="shared" si="6"/>
        <v>100</v>
      </c>
      <c r="W294" s="2">
        <f t="shared" si="7"/>
        <v>100</v>
      </c>
      <c r="X294" s="2" t="str">
        <f t="shared" si="8"/>
        <v>full access</v>
      </c>
      <c r="Y294" s="2" t="str">
        <f t="shared" si="9"/>
        <v>full access</v>
      </c>
      <c r="Z294" s="2" t="str">
        <f t="shared" si="10"/>
        <v>full access</v>
      </c>
      <c r="AA294" s="2">
        <f t="shared" si="11"/>
        <v>0</v>
      </c>
      <c r="AB294" s="2">
        <f t="shared" si="12"/>
        <v>0</v>
      </c>
      <c r="AC294" s="2" t="str">
        <f>VLOOKUP(A294,Regions!$A$2:$B$233,2)</f>
        <v>East Asia &amp; Pacific</v>
      </c>
    </row>
    <row r="295">
      <c r="A295" s="1" t="s">
        <v>176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Q295" s="2" t="str">
        <f t="shared" si="1"/>
        <v/>
      </c>
      <c r="R295" s="2" t="str">
        <f t="shared" si="2"/>
        <v/>
      </c>
      <c r="S295" s="2" t="str">
        <f t="shared" si="3"/>
        <v/>
      </c>
      <c r="T295" s="2" t="str">
        <f t="shared" si="4"/>
        <v/>
      </c>
      <c r="U295" s="2">
        <f t="shared" si="5"/>
        <v>100</v>
      </c>
      <c r="V295" s="2">
        <f t="shared" si="6"/>
        <v>100</v>
      </c>
      <c r="W295" s="2">
        <f t="shared" si="7"/>
        <v>100</v>
      </c>
      <c r="X295" s="2" t="str">
        <f t="shared" si="8"/>
        <v/>
      </c>
      <c r="Y295" s="2" t="str">
        <f t="shared" si="9"/>
        <v/>
      </c>
      <c r="Z295" s="2" t="str">
        <f t="shared" si="10"/>
        <v/>
      </c>
      <c r="AA295" s="2">
        <f t="shared" si="11"/>
        <v>0</v>
      </c>
      <c r="AB295" s="2">
        <f t="shared" si="12"/>
        <v>0</v>
      </c>
      <c r="AC295" s="2" t="str">
        <f>VLOOKUP(A295,Regions!$A$2:$B$233,2)</f>
        <v>East Asia &amp; Pacific</v>
      </c>
    </row>
    <row r="296">
      <c r="A296" s="1" t="s">
        <v>177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2">
        <f t="shared" si="1"/>
        <v>5</v>
      </c>
      <c r="R296" s="2">
        <f t="shared" si="2"/>
        <v>0.071125052</v>
      </c>
      <c r="S296" s="2">
        <f t="shared" si="3"/>
        <v>-0.079442242</v>
      </c>
      <c r="T296" s="2">
        <f t="shared" si="4"/>
        <v>0.032840346</v>
      </c>
      <c r="U296" s="2">
        <f t="shared" si="5"/>
        <v>81</v>
      </c>
      <c r="V296" s="2">
        <f t="shared" si="6"/>
        <v>60</v>
      </c>
      <c r="W296" s="2">
        <f t="shared" si="7"/>
        <v>97</v>
      </c>
      <c r="X296" s="2" t="str">
        <f t="shared" si="8"/>
        <v/>
      </c>
      <c r="Y296" s="2" t="str">
        <f t="shared" si="9"/>
        <v/>
      </c>
      <c r="Z296" s="2" t="str">
        <f t="shared" si="10"/>
        <v/>
      </c>
      <c r="AA296" s="2">
        <f t="shared" si="11"/>
        <v>-0.112282588</v>
      </c>
      <c r="AB296" s="2">
        <f t="shared" si="12"/>
        <v>0.112282588</v>
      </c>
      <c r="AC296" s="2" t="str">
        <f>VLOOKUP(A296,Regions!$A$2:$B$233,2)</f>
        <v>Latin America &amp; Caribbean</v>
      </c>
    </row>
    <row r="297">
      <c r="A297" s="1" t="s">
        <v>177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Q297" s="2" t="str">
        <f t="shared" si="1"/>
        <v/>
      </c>
      <c r="R297" s="2" t="str">
        <f t="shared" si="2"/>
        <v/>
      </c>
      <c r="S297" s="2" t="str">
        <f t="shared" si="3"/>
        <v/>
      </c>
      <c r="T297" s="2" t="str">
        <f t="shared" si="4"/>
        <v/>
      </c>
      <c r="U297" s="2">
        <f t="shared" si="5"/>
        <v>82</v>
      </c>
      <c r="V297" s="2">
        <f t="shared" si="6"/>
        <v>59</v>
      </c>
      <c r="W297" s="2">
        <f t="shared" si="7"/>
        <v>97</v>
      </c>
      <c r="X297" s="2" t="str">
        <f t="shared" si="8"/>
        <v/>
      </c>
      <c r="Y297" s="2" t="str">
        <f t="shared" si="9"/>
        <v/>
      </c>
      <c r="Z297" s="2" t="str">
        <f t="shared" si="10"/>
        <v/>
      </c>
      <c r="AA297" s="2">
        <f t="shared" si="11"/>
        <v>0</v>
      </c>
      <c r="AB297" s="2">
        <f t="shared" si="12"/>
        <v>0</v>
      </c>
      <c r="AC297" s="2" t="str">
        <f>VLOOKUP(A297,Regions!$A$2:$B$233,2)</f>
        <v>Latin America &amp; Caribbean</v>
      </c>
    </row>
    <row r="298">
      <c r="A298" s="1" t="s">
        <v>178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2">
        <f t="shared" si="1"/>
        <v>5</v>
      </c>
      <c r="R298" s="2">
        <f t="shared" si="2"/>
        <v>0.285867882</v>
      </c>
      <c r="S298" s="2">
        <f t="shared" si="3"/>
        <v>0.364843534</v>
      </c>
      <c r="T298" s="2">
        <f t="shared" si="4"/>
        <v>-0.338939856</v>
      </c>
      <c r="U298" s="2">
        <f t="shared" si="5"/>
        <v>45</v>
      </c>
      <c r="V298" s="2">
        <f t="shared" si="6"/>
        <v>37</v>
      </c>
      <c r="W298" s="2">
        <f t="shared" si="7"/>
        <v>88</v>
      </c>
      <c r="X298" s="2" t="str">
        <f t="shared" si="8"/>
        <v/>
      </c>
      <c r="Y298" s="2" t="str">
        <f t="shared" si="9"/>
        <v/>
      </c>
      <c r="Z298" s="2" t="str">
        <f t="shared" si="10"/>
        <v/>
      </c>
      <c r="AA298" s="2">
        <f t="shared" si="11"/>
        <v>0.70378339</v>
      </c>
      <c r="AB298" s="2">
        <f t="shared" si="12"/>
        <v>0.70378339</v>
      </c>
      <c r="AC298" s="2" t="str">
        <f>VLOOKUP(A298,Regions!$A$2:$B$233,2)</f>
        <v>Sub-Saharan Africa</v>
      </c>
    </row>
    <row r="299">
      <c r="A299" s="1" t="s">
        <v>178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Q299" s="2" t="str">
        <f t="shared" si="1"/>
        <v/>
      </c>
      <c r="R299" s="2" t="str">
        <f t="shared" si="2"/>
        <v/>
      </c>
      <c r="S299" s="2" t="str">
        <f t="shared" si="3"/>
        <v/>
      </c>
      <c r="T299" s="2" t="str">
        <f t="shared" si="4"/>
        <v/>
      </c>
      <c r="U299" s="2">
        <f t="shared" si="5"/>
        <v>47</v>
      </c>
      <c r="V299" s="2">
        <f t="shared" si="6"/>
        <v>39</v>
      </c>
      <c r="W299" s="2">
        <f t="shared" si="7"/>
        <v>86</v>
      </c>
      <c r="X299" s="2" t="str">
        <f t="shared" si="8"/>
        <v/>
      </c>
      <c r="Y299" s="2" t="str">
        <f t="shared" si="9"/>
        <v/>
      </c>
      <c r="Z299" s="2" t="str">
        <f t="shared" si="10"/>
        <v/>
      </c>
      <c r="AA299" s="2">
        <f t="shared" si="11"/>
        <v>0</v>
      </c>
      <c r="AB299" s="2">
        <f t="shared" si="12"/>
        <v>0</v>
      </c>
      <c r="AC299" s="2" t="str">
        <f>VLOOKUP(A299,Regions!$A$2:$B$233,2)</f>
        <v>Sub-Saharan Africa</v>
      </c>
    </row>
    <row r="300">
      <c r="A300" s="1" t="s">
        <v>179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2">
        <f t="shared" si="1"/>
        <v>5</v>
      </c>
      <c r="R300" s="2">
        <f t="shared" si="2"/>
        <v>1.765859584</v>
      </c>
      <c r="S300" s="2">
        <f t="shared" si="3"/>
        <v>1.633152206</v>
      </c>
      <c r="T300" s="2">
        <f t="shared" si="4"/>
        <v>1.381769374</v>
      </c>
      <c r="U300" s="2">
        <f t="shared" si="5"/>
        <v>69</v>
      </c>
      <c r="V300" s="2">
        <f t="shared" si="6"/>
        <v>53</v>
      </c>
      <c r="W300" s="2">
        <f t="shared" si="7"/>
        <v>85</v>
      </c>
      <c r="X300" s="2" t="str">
        <f t="shared" si="8"/>
        <v/>
      </c>
      <c r="Y300" s="2" t="str">
        <f t="shared" si="9"/>
        <v/>
      </c>
      <c r="Z300" s="2" t="str">
        <f t="shared" si="10"/>
        <v/>
      </c>
      <c r="AA300" s="2">
        <f t="shared" si="11"/>
        <v>0.251382832</v>
      </c>
      <c r="AB300" s="2">
        <f t="shared" si="12"/>
        <v>0.251382832</v>
      </c>
      <c r="AC300" s="2" t="str">
        <f>VLOOKUP(A300,Regions!$A$2:$B$233,2)</f>
        <v>Sub-Saharan Africa</v>
      </c>
    </row>
    <row r="301">
      <c r="A301" s="1" t="s">
        <v>179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Q301" s="2" t="str">
        <f t="shared" si="1"/>
        <v/>
      </c>
      <c r="R301" s="2" t="str">
        <f t="shared" si="2"/>
        <v/>
      </c>
      <c r="S301" s="2" t="str">
        <f t="shared" si="3"/>
        <v/>
      </c>
      <c r="T301" s="2" t="str">
        <f t="shared" si="4"/>
        <v/>
      </c>
      <c r="U301" s="2">
        <f t="shared" si="5"/>
        <v>78</v>
      </c>
      <c r="V301" s="2">
        <f t="shared" si="6"/>
        <v>62</v>
      </c>
      <c r="W301" s="2">
        <f t="shared" si="7"/>
        <v>92</v>
      </c>
      <c r="X301" s="2" t="str">
        <f t="shared" si="8"/>
        <v/>
      </c>
      <c r="Y301" s="2" t="str">
        <f t="shared" si="9"/>
        <v/>
      </c>
      <c r="Z301" s="2" t="str">
        <f t="shared" si="10"/>
        <v/>
      </c>
      <c r="AA301" s="2">
        <f t="shared" si="11"/>
        <v>0</v>
      </c>
      <c r="AB301" s="2">
        <f t="shared" si="12"/>
        <v>0</v>
      </c>
      <c r="AC301" s="2" t="str">
        <f>VLOOKUP(A301,Regions!$A$2:$B$233,2)</f>
        <v>Sub-Saharan Africa</v>
      </c>
    </row>
    <row r="302">
      <c r="A302" s="1" t="s">
        <v>180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33</v>
      </c>
      <c r="J302" s="1" t="s">
        <v>33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33</v>
      </c>
      <c r="Q302" s="2">
        <f t="shared" si="1"/>
        <v>5</v>
      </c>
      <c r="R302" s="2">
        <f t="shared" si="2"/>
        <v>-0.119052646</v>
      </c>
      <c r="S302" s="2" t="str">
        <f t="shared" si="3"/>
        <v>null</v>
      </c>
      <c r="T302" s="2" t="str">
        <f t="shared" si="4"/>
        <v>null</v>
      </c>
      <c r="U302" s="2">
        <f t="shared" si="5"/>
        <v>98</v>
      </c>
      <c r="V302" s="2" t="str">
        <f t="shared" si="6"/>
        <v>null</v>
      </c>
      <c r="W302" s="2" t="str">
        <f t="shared" si="7"/>
        <v>null</v>
      </c>
      <c r="X302" s="2" t="str">
        <f t="shared" si="8"/>
        <v/>
      </c>
      <c r="Y302" s="2" t="str">
        <f t="shared" si="9"/>
        <v/>
      </c>
      <c r="Z302" s="2" t="str">
        <f t="shared" si="10"/>
        <v/>
      </c>
      <c r="AA302" s="2" t="str">
        <f t="shared" si="11"/>
        <v>null</v>
      </c>
      <c r="AB302" s="2" t="str">
        <f t="shared" si="12"/>
        <v>null</v>
      </c>
      <c r="AC302" s="2" t="str">
        <f>VLOOKUP(A302,Regions!$A$2:$B$233,2)</f>
        <v>East Asia &amp; Pacific</v>
      </c>
    </row>
    <row r="303">
      <c r="A303" s="1" t="s">
        <v>180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33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2" t="str">
        <f t="shared" si="1"/>
        <v/>
      </c>
      <c r="R303" s="2" t="str">
        <f t="shared" si="2"/>
        <v/>
      </c>
      <c r="S303" s="2" t="str">
        <f t="shared" si="3"/>
        <v/>
      </c>
      <c r="T303" s="2" t="str">
        <f t="shared" si="4"/>
        <v/>
      </c>
      <c r="U303" s="2">
        <f t="shared" si="5"/>
        <v>97</v>
      </c>
      <c r="V303" s="2" t="str">
        <f t="shared" si="6"/>
        <v>null</v>
      </c>
      <c r="W303" s="2" t="str">
        <f t="shared" si="7"/>
        <v>null</v>
      </c>
      <c r="X303" s="2" t="str">
        <f t="shared" si="8"/>
        <v/>
      </c>
      <c r="Y303" s="2" t="str">
        <f t="shared" si="9"/>
        <v/>
      </c>
      <c r="Z303" s="2" t="str">
        <f t="shared" si="10"/>
        <v/>
      </c>
      <c r="AA303" s="2">
        <f t="shared" si="11"/>
        <v>0</v>
      </c>
      <c r="AB303" s="2">
        <f t="shared" si="12"/>
        <v>0</v>
      </c>
      <c r="AC303" s="2" t="str">
        <f>VLOOKUP(A303,Regions!$A$2:$B$233,2)</f>
        <v>East Asia &amp; Pacific</v>
      </c>
    </row>
    <row r="304">
      <c r="A304" s="1" t="s">
        <v>181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2">
        <f t="shared" si="1"/>
        <v>5</v>
      </c>
      <c r="R304" s="2">
        <f t="shared" si="2"/>
        <v>0.054096592</v>
      </c>
      <c r="S304" s="2">
        <f t="shared" si="3"/>
        <v>-0.032903712</v>
      </c>
      <c r="T304" s="2">
        <f t="shared" si="4"/>
        <v>0.116888982</v>
      </c>
      <c r="U304" s="2">
        <f t="shared" si="5"/>
        <v>97</v>
      </c>
      <c r="V304" s="2">
        <f t="shared" si="6"/>
        <v>98</v>
      </c>
      <c r="W304" s="2">
        <f t="shared" si="7"/>
        <v>97</v>
      </c>
      <c r="X304" s="2" t="str">
        <f t="shared" si="8"/>
        <v/>
      </c>
      <c r="Y304" s="2" t="str">
        <f t="shared" si="9"/>
        <v/>
      </c>
      <c r="Z304" s="2" t="str">
        <f t="shared" si="10"/>
        <v/>
      </c>
      <c r="AA304" s="2">
        <f t="shared" si="11"/>
        <v>-0.149792694</v>
      </c>
      <c r="AB304" s="2">
        <f t="shared" si="12"/>
        <v>0.149792694</v>
      </c>
      <c r="AC304" s="2" t="str">
        <f>VLOOKUP(A304,Regions!$A$2:$B$233,2)</f>
        <v>Europe &amp; Central Asia</v>
      </c>
    </row>
    <row r="305">
      <c r="A305" s="1" t="s">
        <v>181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Q305" s="2" t="str">
        <f t="shared" si="1"/>
        <v/>
      </c>
      <c r="R305" s="2" t="str">
        <f t="shared" si="2"/>
        <v/>
      </c>
      <c r="S305" s="2" t="str">
        <f t="shared" si="3"/>
        <v/>
      </c>
      <c r="T305" s="2" t="str">
        <f t="shared" si="4"/>
        <v/>
      </c>
      <c r="U305" s="2">
        <f t="shared" si="5"/>
        <v>98</v>
      </c>
      <c r="V305" s="2">
        <f t="shared" si="6"/>
        <v>97</v>
      </c>
      <c r="W305" s="2">
        <f t="shared" si="7"/>
        <v>98</v>
      </c>
      <c r="X305" s="2" t="str">
        <f t="shared" si="8"/>
        <v/>
      </c>
      <c r="Y305" s="2" t="str">
        <f t="shared" si="9"/>
        <v/>
      </c>
      <c r="Z305" s="2" t="str">
        <f t="shared" si="10"/>
        <v/>
      </c>
      <c r="AA305" s="2">
        <f t="shared" si="11"/>
        <v>0</v>
      </c>
      <c r="AB305" s="2">
        <f t="shared" si="12"/>
        <v>0</v>
      </c>
      <c r="AC305" s="2" t="str">
        <f>VLOOKUP(A305,Regions!$A$2:$B$233,2)</f>
        <v>Europe &amp; Central Asia</v>
      </c>
    </row>
    <row r="306">
      <c r="A306" s="1" t="s">
        <v>182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33</v>
      </c>
      <c r="J306" s="1" t="s">
        <v>33</v>
      </c>
      <c r="K306" s="1" t="s">
        <v>33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33</v>
      </c>
      <c r="Q306" s="2">
        <f t="shared" si="1"/>
        <v>5</v>
      </c>
      <c r="R306" s="2">
        <f t="shared" si="2"/>
        <v>0.003963322</v>
      </c>
      <c r="S306" s="2" t="str">
        <f t="shared" si="3"/>
        <v>null</v>
      </c>
      <c r="T306" s="2" t="str">
        <f t="shared" si="4"/>
        <v>null</v>
      </c>
      <c r="U306" s="2">
        <f t="shared" si="5"/>
        <v>100</v>
      </c>
      <c r="V306" s="2" t="str">
        <f t="shared" si="6"/>
        <v>null</v>
      </c>
      <c r="W306" s="2" t="str">
        <f t="shared" si="7"/>
        <v>null</v>
      </c>
      <c r="X306" s="2" t="str">
        <f t="shared" si="8"/>
        <v>full access</v>
      </c>
      <c r="Y306" s="2" t="str">
        <f t="shared" si="9"/>
        <v/>
      </c>
      <c r="Z306" s="2" t="str">
        <f t="shared" si="10"/>
        <v/>
      </c>
      <c r="AA306" s="2" t="str">
        <f t="shared" si="11"/>
        <v>null</v>
      </c>
      <c r="AB306" s="2" t="str">
        <f t="shared" si="12"/>
        <v>null</v>
      </c>
      <c r="AC306" s="2" t="str">
        <f>VLOOKUP(A306,Regions!$A$2:$B$233,2)</f>
        <v>East Asia &amp; Pacific</v>
      </c>
    </row>
    <row r="307">
      <c r="A307" s="1" t="s">
        <v>182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33</v>
      </c>
      <c r="J307" s="1" t="s">
        <v>33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33</v>
      </c>
      <c r="Q307" s="2" t="str">
        <f t="shared" si="1"/>
        <v/>
      </c>
      <c r="R307" s="2" t="str">
        <f t="shared" si="2"/>
        <v/>
      </c>
      <c r="S307" s="2" t="str">
        <f t="shared" si="3"/>
        <v/>
      </c>
      <c r="T307" s="2" t="str">
        <f t="shared" si="4"/>
        <v/>
      </c>
      <c r="U307" s="2">
        <f t="shared" si="5"/>
        <v>100</v>
      </c>
      <c r="V307" s="2" t="str">
        <f t="shared" si="6"/>
        <v>null</v>
      </c>
      <c r="W307" s="2" t="str">
        <f t="shared" si="7"/>
        <v>null</v>
      </c>
      <c r="X307" s="2" t="str">
        <f t="shared" si="8"/>
        <v/>
      </c>
      <c r="Y307" s="2" t="str">
        <f t="shared" si="9"/>
        <v/>
      </c>
      <c r="Z307" s="2" t="str">
        <f t="shared" si="10"/>
        <v/>
      </c>
      <c r="AA307" s="2">
        <f t="shared" si="11"/>
        <v>0</v>
      </c>
      <c r="AB307" s="2">
        <f t="shared" si="12"/>
        <v>0</v>
      </c>
      <c r="AC307" s="2" t="str">
        <f>VLOOKUP(A307,Regions!$A$2:$B$233,2)</f>
        <v>East Asia &amp; Pacific</v>
      </c>
    </row>
    <row r="308">
      <c r="A308" s="1" t="s">
        <v>183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2">
        <f t="shared" si="1"/>
        <v>5</v>
      </c>
      <c r="R308" s="2">
        <f t="shared" si="2"/>
        <v>-0.000001140000001</v>
      </c>
      <c r="S308" s="2">
        <f t="shared" si="3"/>
        <v>0</v>
      </c>
      <c r="T308" s="2">
        <f t="shared" si="4"/>
        <v>0</v>
      </c>
      <c r="U308" s="2">
        <f t="shared" si="5"/>
        <v>100</v>
      </c>
      <c r="V308" s="2">
        <f t="shared" si="6"/>
        <v>100</v>
      </c>
      <c r="W308" s="2">
        <f t="shared" si="7"/>
        <v>100</v>
      </c>
      <c r="X308" s="2" t="str">
        <f t="shared" si="8"/>
        <v>full access</v>
      </c>
      <c r="Y308" s="2" t="str">
        <f t="shared" si="9"/>
        <v>full access</v>
      </c>
      <c r="Z308" s="2" t="str">
        <f t="shared" si="10"/>
        <v>full access</v>
      </c>
      <c r="AA308" s="2">
        <f t="shared" si="11"/>
        <v>0</v>
      </c>
      <c r="AB308" s="2">
        <f t="shared" si="12"/>
        <v>0</v>
      </c>
      <c r="AC308" s="2" t="str">
        <f>VLOOKUP(A308,Regions!$A$2:$B$233,2)</f>
        <v>Europe &amp; Central Asia</v>
      </c>
    </row>
    <row r="309">
      <c r="A309" s="1" t="s">
        <v>183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Q309" s="2" t="str">
        <f t="shared" si="1"/>
        <v/>
      </c>
      <c r="R309" s="2" t="str">
        <f t="shared" si="2"/>
        <v/>
      </c>
      <c r="S309" s="2" t="str">
        <f t="shared" si="3"/>
        <v/>
      </c>
      <c r="T309" s="2" t="str">
        <f t="shared" si="4"/>
        <v/>
      </c>
      <c r="U309" s="2">
        <f t="shared" si="5"/>
        <v>100</v>
      </c>
      <c r="V309" s="2">
        <f t="shared" si="6"/>
        <v>100</v>
      </c>
      <c r="W309" s="2">
        <f t="shared" si="7"/>
        <v>100</v>
      </c>
      <c r="X309" s="2" t="str">
        <f t="shared" si="8"/>
        <v/>
      </c>
      <c r="Y309" s="2" t="str">
        <f t="shared" si="9"/>
        <v/>
      </c>
      <c r="Z309" s="2" t="str">
        <f t="shared" si="10"/>
        <v/>
      </c>
      <c r="AA309" s="2">
        <f t="shared" si="11"/>
        <v>0</v>
      </c>
      <c r="AB309" s="2">
        <f t="shared" si="12"/>
        <v>0</v>
      </c>
      <c r="AC309" s="2" t="str">
        <f>VLOOKUP(A309,Regions!$A$2:$B$233,2)</f>
        <v>Europe &amp; Central Asia</v>
      </c>
    </row>
    <row r="310">
      <c r="A310" s="1" t="s">
        <v>184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2">
        <f t="shared" si="1"/>
        <v>5</v>
      </c>
      <c r="R310" s="2">
        <f t="shared" si="2"/>
        <v>0.38590781</v>
      </c>
      <c r="S310" s="2">
        <f t="shared" si="3"/>
        <v>0.37677429</v>
      </c>
      <c r="T310" s="2">
        <f t="shared" si="4"/>
        <v>0.164570984</v>
      </c>
      <c r="U310" s="2">
        <f t="shared" si="5"/>
        <v>90</v>
      </c>
      <c r="V310" s="2">
        <f t="shared" si="6"/>
        <v>74</v>
      </c>
      <c r="W310" s="2">
        <f t="shared" si="7"/>
        <v>94</v>
      </c>
      <c r="X310" s="2" t="str">
        <f t="shared" si="8"/>
        <v/>
      </c>
      <c r="Y310" s="2" t="str">
        <f t="shared" si="9"/>
        <v/>
      </c>
      <c r="Z310" s="2" t="str">
        <f t="shared" si="10"/>
        <v/>
      </c>
      <c r="AA310" s="2">
        <f t="shared" si="11"/>
        <v>0.212203306</v>
      </c>
      <c r="AB310" s="2">
        <f t="shared" si="12"/>
        <v>0.212203306</v>
      </c>
      <c r="AC310" s="2" t="str">
        <f>VLOOKUP(A310,Regions!$A$2:$B$233,2)</f>
        <v>Middle East &amp; North Africa</v>
      </c>
    </row>
    <row r="311">
      <c r="A311" s="1" t="s">
        <v>184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Q311" s="2" t="str">
        <f t="shared" si="1"/>
        <v/>
      </c>
      <c r="R311" s="2" t="str">
        <f t="shared" si="2"/>
        <v/>
      </c>
      <c r="S311" s="2" t="str">
        <f t="shared" si="3"/>
        <v/>
      </c>
      <c r="T311" s="2" t="str">
        <f t="shared" si="4"/>
        <v/>
      </c>
      <c r="U311" s="2">
        <f t="shared" si="5"/>
        <v>92</v>
      </c>
      <c r="V311" s="2">
        <f t="shared" si="6"/>
        <v>76</v>
      </c>
      <c r="W311" s="2">
        <f t="shared" si="7"/>
        <v>95</v>
      </c>
      <c r="X311" s="2" t="str">
        <f t="shared" si="8"/>
        <v/>
      </c>
      <c r="Y311" s="2" t="str">
        <f t="shared" si="9"/>
        <v/>
      </c>
      <c r="Z311" s="2" t="str">
        <f t="shared" si="10"/>
        <v/>
      </c>
      <c r="AA311" s="2">
        <f t="shared" si="11"/>
        <v>0</v>
      </c>
      <c r="AB311" s="2">
        <f t="shared" si="12"/>
        <v>0</v>
      </c>
      <c r="AC311" s="2" t="str">
        <f>VLOOKUP(A311,Regions!$A$2:$B$233,2)</f>
        <v>Middle East &amp; North Africa</v>
      </c>
    </row>
    <row r="312">
      <c r="A312" s="1" t="s">
        <v>185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2">
        <f t="shared" si="1"/>
        <v>5</v>
      </c>
      <c r="R312" s="2">
        <f t="shared" si="2"/>
        <v>0.138796548</v>
      </c>
      <c r="S312" s="2">
        <f t="shared" si="3"/>
        <v>0.2897808</v>
      </c>
      <c r="T312" s="2">
        <f t="shared" si="4"/>
        <v>-0.155671798</v>
      </c>
      <c r="U312" s="2">
        <f t="shared" si="5"/>
        <v>89</v>
      </c>
      <c r="V312" s="2">
        <f t="shared" si="6"/>
        <v>87</v>
      </c>
      <c r="W312" s="2">
        <f t="shared" si="7"/>
        <v>94</v>
      </c>
      <c r="X312" s="2" t="str">
        <f t="shared" si="8"/>
        <v/>
      </c>
      <c r="Y312" s="2" t="str">
        <f t="shared" si="9"/>
        <v/>
      </c>
      <c r="Z312" s="2" t="str">
        <f t="shared" si="10"/>
        <v/>
      </c>
      <c r="AA312" s="2">
        <f t="shared" si="11"/>
        <v>0.445452598</v>
      </c>
      <c r="AB312" s="2">
        <f t="shared" si="12"/>
        <v>0.445452598</v>
      </c>
      <c r="AC312" s="2" t="str">
        <f>VLOOKUP(A312,Regions!$A$2:$B$233,2)</f>
        <v>South Asia</v>
      </c>
    </row>
    <row r="313">
      <c r="A313" s="1" t="s">
        <v>185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Q313" s="2" t="str">
        <f t="shared" si="1"/>
        <v/>
      </c>
      <c r="R313" s="2" t="str">
        <f t="shared" si="2"/>
        <v/>
      </c>
      <c r="S313" s="2" t="str">
        <f t="shared" si="3"/>
        <v/>
      </c>
      <c r="T313" s="2" t="str">
        <f t="shared" si="4"/>
        <v/>
      </c>
      <c r="U313" s="2">
        <f t="shared" si="5"/>
        <v>90</v>
      </c>
      <c r="V313" s="2">
        <f t="shared" si="6"/>
        <v>89</v>
      </c>
      <c r="W313" s="2">
        <f t="shared" si="7"/>
        <v>93</v>
      </c>
      <c r="X313" s="2" t="str">
        <f t="shared" si="8"/>
        <v/>
      </c>
      <c r="Y313" s="2" t="str">
        <f t="shared" si="9"/>
        <v/>
      </c>
      <c r="Z313" s="2" t="str">
        <f t="shared" si="10"/>
        <v/>
      </c>
      <c r="AA313" s="2">
        <f t="shared" si="11"/>
        <v>0</v>
      </c>
      <c r="AB313" s="2">
        <f t="shared" si="12"/>
        <v>0</v>
      </c>
      <c r="AC313" s="2" t="str">
        <f>VLOOKUP(A313,Regions!$A$2:$B$233,2)</f>
        <v>South Asia</v>
      </c>
    </row>
    <row r="314">
      <c r="A314" s="1" t="s">
        <v>186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2">
        <f t="shared" si="1"/>
        <v>5</v>
      </c>
      <c r="R314" s="2">
        <f t="shared" si="2"/>
        <v>0.00547893</v>
      </c>
      <c r="S314" s="2">
        <f t="shared" si="3"/>
        <v>0.02862271</v>
      </c>
      <c r="T314" s="2">
        <f t="shared" si="4"/>
        <v>-0.000099948</v>
      </c>
      <c r="U314" s="2">
        <f t="shared" si="5"/>
        <v>100</v>
      </c>
      <c r="V314" s="2">
        <f t="shared" si="6"/>
        <v>100</v>
      </c>
      <c r="W314" s="2">
        <f t="shared" si="7"/>
        <v>100</v>
      </c>
      <c r="X314" s="2" t="str">
        <f t="shared" si="8"/>
        <v>full access</v>
      </c>
      <c r="Y314" s="2" t="str">
        <f t="shared" si="9"/>
        <v>full access</v>
      </c>
      <c r="Z314" s="2" t="str">
        <f t="shared" si="10"/>
        <v>full access</v>
      </c>
      <c r="AA314" s="2">
        <f t="shared" si="11"/>
        <v>0.028722658</v>
      </c>
      <c r="AB314" s="2">
        <f t="shared" si="12"/>
        <v>0.028722658</v>
      </c>
      <c r="AC314" s="2" t="str">
        <f>VLOOKUP(A314,Regions!$A$2:$B$233,2)</f>
        <v>East Asia &amp; Pacific</v>
      </c>
    </row>
    <row r="315">
      <c r="A315" s="1" t="s">
        <v>186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Q315" s="2" t="str">
        <f t="shared" si="1"/>
        <v/>
      </c>
      <c r="R315" s="2" t="str">
        <f t="shared" si="2"/>
        <v/>
      </c>
      <c r="S315" s="2" t="str">
        <f t="shared" si="3"/>
        <v/>
      </c>
      <c r="T315" s="2" t="str">
        <f t="shared" si="4"/>
        <v/>
      </c>
      <c r="U315" s="2">
        <f t="shared" si="5"/>
        <v>100</v>
      </c>
      <c r="V315" s="2">
        <f t="shared" si="6"/>
        <v>100</v>
      </c>
      <c r="W315" s="2">
        <f t="shared" si="7"/>
        <v>100</v>
      </c>
      <c r="X315" s="2" t="str">
        <f t="shared" si="8"/>
        <v/>
      </c>
      <c r="Y315" s="2" t="str">
        <f t="shared" si="9"/>
        <v/>
      </c>
      <c r="Z315" s="2" t="str">
        <f t="shared" si="10"/>
        <v/>
      </c>
      <c r="AA315" s="2">
        <f t="shared" si="11"/>
        <v>0</v>
      </c>
      <c r="AB315" s="2">
        <f t="shared" si="12"/>
        <v>0</v>
      </c>
      <c r="AC315" s="2" t="str">
        <f>VLOOKUP(A315,Regions!$A$2:$B$233,2)</f>
        <v>East Asia &amp; Pacific</v>
      </c>
    </row>
    <row r="316">
      <c r="A316" s="1" t="s">
        <v>187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2">
        <f t="shared" si="1"/>
        <v>5</v>
      </c>
      <c r="R316" s="2">
        <f t="shared" si="2"/>
        <v>0.29363575</v>
      </c>
      <c r="S316" s="2">
        <f t="shared" si="3"/>
        <v>0.528700746</v>
      </c>
      <c r="T316" s="2">
        <f t="shared" si="4"/>
        <v>0.115643056</v>
      </c>
      <c r="U316" s="2">
        <f t="shared" si="5"/>
        <v>93</v>
      </c>
      <c r="V316" s="2">
        <f t="shared" si="6"/>
        <v>84</v>
      </c>
      <c r="W316" s="2">
        <f t="shared" si="7"/>
        <v>98</v>
      </c>
      <c r="X316" s="2" t="str">
        <f t="shared" si="8"/>
        <v/>
      </c>
      <c r="Y316" s="2" t="str">
        <f t="shared" si="9"/>
        <v/>
      </c>
      <c r="Z316" s="2" t="str">
        <f t="shared" si="10"/>
        <v/>
      </c>
      <c r="AA316" s="2">
        <f t="shared" si="11"/>
        <v>0.41305769</v>
      </c>
      <c r="AB316" s="2">
        <f t="shared" si="12"/>
        <v>0.41305769</v>
      </c>
      <c r="AC316" s="2" t="str">
        <f>VLOOKUP(A316,Regions!$A$2:$B$233,2)</f>
        <v>Latin America &amp; Caribbean</v>
      </c>
    </row>
    <row r="317">
      <c r="A317" s="1" t="s">
        <v>187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Q317" s="2" t="str">
        <f t="shared" si="1"/>
        <v/>
      </c>
      <c r="R317" s="2" t="str">
        <f t="shared" si="2"/>
        <v/>
      </c>
      <c r="S317" s="2" t="str">
        <f t="shared" si="3"/>
        <v/>
      </c>
      <c r="T317" s="2" t="str">
        <f t="shared" si="4"/>
        <v/>
      </c>
      <c r="U317" s="2">
        <f t="shared" si="5"/>
        <v>94</v>
      </c>
      <c r="V317" s="2">
        <f t="shared" si="6"/>
        <v>86</v>
      </c>
      <c r="W317" s="2">
        <f t="shared" si="7"/>
        <v>98</v>
      </c>
      <c r="X317" s="2" t="str">
        <f t="shared" si="8"/>
        <v/>
      </c>
      <c r="Y317" s="2" t="str">
        <f t="shared" si="9"/>
        <v/>
      </c>
      <c r="Z317" s="2" t="str">
        <f t="shared" si="10"/>
        <v/>
      </c>
      <c r="AA317" s="2">
        <f t="shared" si="11"/>
        <v>0</v>
      </c>
      <c r="AB317" s="2">
        <f t="shared" si="12"/>
        <v>0</v>
      </c>
      <c r="AC317" s="2" t="str">
        <f>VLOOKUP(A317,Regions!$A$2:$B$233,2)</f>
        <v>Latin America &amp; Caribbean</v>
      </c>
    </row>
    <row r="318">
      <c r="A318" s="1" t="s">
        <v>188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2">
        <f t="shared" si="1"/>
        <v>5</v>
      </c>
      <c r="R318" s="2">
        <f t="shared" si="2"/>
        <v>0.771701816</v>
      </c>
      <c r="S318" s="2">
        <f t="shared" si="3"/>
        <v>0.816142134</v>
      </c>
      <c r="T318" s="2">
        <f t="shared" si="4"/>
        <v>0.234025716</v>
      </c>
      <c r="U318" s="2">
        <f t="shared" si="5"/>
        <v>41</v>
      </c>
      <c r="V318" s="2">
        <f t="shared" si="6"/>
        <v>35</v>
      </c>
      <c r="W318" s="2">
        <f t="shared" si="7"/>
        <v>85</v>
      </c>
      <c r="X318" s="2" t="str">
        <f t="shared" si="8"/>
        <v/>
      </c>
      <c r="Y318" s="2" t="str">
        <f t="shared" si="9"/>
        <v/>
      </c>
      <c r="Z318" s="2" t="str">
        <f t="shared" si="10"/>
        <v/>
      </c>
      <c r="AA318" s="2">
        <f t="shared" si="11"/>
        <v>0.582116418</v>
      </c>
      <c r="AB318" s="2">
        <f t="shared" si="12"/>
        <v>0.582116418</v>
      </c>
      <c r="AC318" s="2" t="str">
        <f>VLOOKUP(A318,Regions!$A$2:$B$233,2)</f>
        <v>East Asia &amp; Pacific</v>
      </c>
    </row>
    <row r="319">
      <c r="A319" s="1" t="s">
        <v>188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Q319" s="2" t="str">
        <f t="shared" si="1"/>
        <v/>
      </c>
      <c r="R319" s="2" t="str">
        <f t="shared" si="2"/>
        <v/>
      </c>
      <c r="S319" s="2" t="str">
        <f t="shared" si="3"/>
        <v/>
      </c>
      <c r="T319" s="2" t="str">
        <f t="shared" si="4"/>
        <v/>
      </c>
      <c r="U319" s="2">
        <f t="shared" si="5"/>
        <v>45</v>
      </c>
      <c r="V319" s="2">
        <f t="shared" si="6"/>
        <v>39</v>
      </c>
      <c r="W319" s="2">
        <f t="shared" si="7"/>
        <v>86</v>
      </c>
      <c r="X319" s="2" t="str">
        <f t="shared" si="8"/>
        <v/>
      </c>
      <c r="Y319" s="2" t="str">
        <f t="shared" si="9"/>
        <v/>
      </c>
      <c r="Z319" s="2" t="str">
        <f t="shared" si="10"/>
        <v/>
      </c>
      <c r="AA319" s="2">
        <f t="shared" si="11"/>
        <v>0</v>
      </c>
      <c r="AB319" s="2">
        <f t="shared" si="12"/>
        <v>0</v>
      </c>
      <c r="AC319" s="2" t="str">
        <f>VLOOKUP(A319,Regions!$A$2:$B$233,2)</f>
        <v>East Asia &amp; Pacific</v>
      </c>
    </row>
    <row r="320">
      <c r="A320" s="1" t="s">
        <v>189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2">
        <f t="shared" si="1"/>
        <v>5</v>
      </c>
      <c r="R320" s="2">
        <f t="shared" si="2"/>
        <v>0.55145036</v>
      </c>
      <c r="S320" s="2">
        <f t="shared" si="3"/>
        <v>1.153305448</v>
      </c>
      <c r="T320" s="2">
        <f t="shared" si="4"/>
        <v>0.158939962</v>
      </c>
      <c r="U320" s="2">
        <f t="shared" si="5"/>
        <v>97</v>
      </c>
      <c r="V320" s="2">
        <f t="shared" si="6"/>
        <v>93</v>
      </c>
      <c r="W320" s="2">
        <f t="shared" si="7"/>
        <v>99</v>
      </c>
      <c r="X320" s="2" t="str">
        <f t="shared" si="8"/>
        <v/>
      </c>
      <c r="Y320" s="2" t="str">
        <f t="shared" si="9"/>
        <v/>
      </c>
      <c r="Z320" s="2" t="str">
        <f t="shared" si="10"/>
        <v/>
      </c>
      <c r="AA320" s="2">
        <f t="shared" si="11"/>
        <v>0.994365486</v>
      </c>
      <c r="AB320" s="2">
        <f t="shared" si="12"/>
        <v>0.994365486</v>
      </c>
      <c r="AC320" s="2" t="str">
        <f>VLOOKUP(A320,Regions!$A$2:$B$233,2)</f>
        <v>Latin America &amp; Caribbean</v>
      </c>
    </row>
    <row r="321">
      <c r="A321" s="1" t="s">
        <v>189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Q321" s="2" t="str">
        <f t="shared" si="1"/>
        <v/>
      </c>
      <c r="R321" s="2" t="str">
        <f t="shared" si="2"/>
        <v/>
      </c>
      <c r="S321" s="2" t="str">
        <f t="shared" si="3"/>
        <v/>
      </c>
      <c r="T321" s="2" t="str">
        <f t="shared" si="4"/>
        <v/>
      </c>
      <c r="U321" s="2">
        <f t="shared" si="5"/>
        <v>100</v>
      </c>
      <c r="V321" s="2">
        <f t="shared" si="6"/>
        <v>99</v>
      </c>
      <c r="W321" s="2">
        <f t="shared" si="7"/>
        <v>100</v>
      </c>
      <c r="X321" s="2" t="str">
        <f t="shared" si="8"/>
        <v/>
      </c>
      <c r="Y321" s="2" t="str">
        <f t="shared" si="9"/>
        <v/>
      </c>
      <c r="Z321" s="2" t="str">
        <f t="shared" si="10"/>
        <v/>
      </c>
      <c r="AA321" s="2">
        <f t="shared" si="11"/>
        <v>0</v>
      </c>
      <c r="AB321" s="2">
        <f t="shared" si="12"/>
        <v>0</v>
      </c>
      <c r="AC321" s="2" t="str">
        <f>VLOOKUP(A321,Regions!$A$2:$B$233,2)</f>
        <v>Latin America &amp; Caribbean</v>
      </c>
    </row>
    <row r="322">
      <c r="A322" s="1" t="s">
        <v>190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2">
        <f t="shared" si="1"/>
        <v>5</v>
      </c>
      <c r="R322" s="2">
        <f t="shared" si="2"/>
        <v>0.571472634</v>
      </c>
      <c r="S322" s="2">
        <f t="shared" si="3"/>
        <v>1.50236293</v>
      </c>
      <c r="T322" s="2">
        <f t="shared" si="4"/>
        <v>0.260691412</v>
      </c>
      <c r="U322" s="2">
        <f t="shared" si="5"/>
        <v>90</v>
      </c>
      <c r="V322" s="2">
        <f t="shared" si="6"/>
        <v>73</v>
      </c>
      <c r="W322" s="2">
        <f t="shared" si="7"/>
        <v>95</v>
      </c>
      <c r="X322" s="2" t="str">
        <f t="shared" si="8"/>
        <v/>
      </c>
      <c r="Y322" s="2" t="str">
        <f t="shared" si="9"/>
        <v/>
      </c>
      <c r="Z322" s="2" t="str">
        <f t="shared" si="10"/>
        <v/>
      </c>
      <c r="AA322" s="2">
        <f t="shared" si="11"/>
        <v>1.241671518</v>
      </c>
      <c r="AB322" s="2">
        <f t="shared" si="12"/>
        <v>1.241671518</v>
      </c>
      <c r="AC322" s="2" t="str">
        <f>VLOOKUP(A322,Regions!$A$2:$B$233,2)</f>
        <v>Latin America &amp; Caribbean</v>
      </c>
    </row>
    <row r="323">
      <c r="A323" s="1" t="s">
        <v>190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Q323" s="2" t="str">
        <f t="shared" si="1"/>
        <v/>
      </c>
      <c r="R323" s="2" t="str">
        <f t="shared" si="2"/>
        <v/>
      </c>
      <c r="S323" s="2" t="str">
        <f t="shared" si="3"/>
        <v/>
      </c>
      <c r="T323" s="2" t="str">
        <f t="shared" si="4"/>
        <v/>
      </c>
      <c r="U323" s="2">
        <f t="shared" si="5"/>
        <v>93</v>
      </c>
      <c r="V323" s="2">
        <f t="shared" si="6"/>
        <v>81</v>
      </c>
      <c r="W323" s="2">
        <f t="shared" si="7"/>
        <v>97</v>
      </c>
      <c r="X323" s="2" t="str">
        <f t="shared" si="8"/>
        <v/>
      </c>
      <c r="Y323" s="2" t="str">
        <f t="shared" si="9"/>
        <v/>
      </c>
      <c r="Z323" s="2" t="str">
        <f t="shared" si="10"/>
        <v/>
      </c>
      <c r="AA323" s="2">
        <f t="shared" si="11"/>
        <v>0</v>
      </c>
      <c r="AB323" s="2">
        <f t="shared" si="12"/>
        <v>0</v>
      </c>
      <c r="AC323" s="2" t="str">
        <f>VLOOKUP(A323,Regions!$A$2:$B$233,2)</f>
        <v>Latin America &amp; Caribbean</v>
      </c>
    </row>
    <row r="324">
      <c r="A324" s="1" t="s">
        <v>191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2">
        <f t="shared" si="1"/>
        <v>5</v>
      </c>
      <c r="R324" s="2">
        <f t="shared" si="2"/>
        <v>0.418266708</v>
      </c>
      <c r="S324" s="2">
        <f t="shared" si="3"/>
        <v>0.570754178</v>
      </c>
      <c r="T324" s="2">
        <f t="shared" si="4"/>
        <v>0.210076072</v>
      </c>
      <c r="U324" s="2">
        <f t="shared" si="5"/>
        <v>92</v>
      </c>
      <c r="V324" s="2">
        <f t="shared" si="6"/>
        <v>88</v>
      </c>
      <c r="W324" s="2">
        <f t="shared" si="7"/>
        <v>96</v>
      </c>
      <c r="X324" s="2" t="str">
        <f t="shared" si="8"/>
        <v/>
      </c>
      <c r="Y324" s="2" t="str">
        <f t="shared" si="9"/>
        <v/>
      </c>
      <c r="Z324" s="2" t="str">
        <f t="shared" si="10"/>
        <v/>
      </c>
      <c r="AA324" s="2">
        <f t="shared" si="11"/>
        <v>0.360678106</v>
      </c>
      <c r="AB324" s="2">
        <f t="shared" si="12"/>
        <v>0.360678106</v>
      </c>
      <c r="AC324" s="2" t="str">
        <f>VLOOKUP(A324,Regions!$A$2:$B$233,2)</f>
        <v>South Asia</v>
      </c>
    </row>
    <row r="325">
      <c r="A325" s="1" t="s">
        <v>191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Q325" s="2" t="str">
        <f t="shared" si="1"/>
        <v/>
      </c>
      <c r="R325" s="2" t="str">
        <f t="shared" si="2"/>
        <v/>
      </c>
      <c r="S325" s="2" t="str">
        <f t="shared" si="3"/>
        <v/>
      </c>
      <c r="T325" s="2" t="str">
        <f t="shared" si="4"/>
        <v/>
      </c>
      <c r="U325" s="2">
        <f t="shared" si="5"/>
        <v>94</v>
      </c>
      <c r="V325" s="2">
        <f t="shared" si="6"/>
        <v>91</v>
      </c>
      <c r="W325" s="2">
        <f t="shared" si="7"/>
        <v>97</v>
      </c>
      <c r="X325" s="2" t="str">
        <f t="shared" si="8"/>
        <v/>
      </c>
      <c r="Y325" s="2" t="str">
        <f t="shared" si="9"/>
        <v/>
      </c>
      <c r="Z325" s="2" t="str">
        <f t="shared" si="10"/>
        <v/>
      </c>
      <c r="AA325" s="2">
        <f t="shared" si="11"/>
        <v>0</v>
      </c>
      <c r="AB325" s="2">
        <f t="shared" si="12"/>
        <v>0</v>
      </c>
      <c r="AC325" s="2" t="str">
        <f>VLOOKUP(A325,Regions!$A$2:$B$233,2)</f>
        <v>South Asia</v>
      </c>
    </row>
    <row r="326">
      <c r="A326" s="1" t="s">
        <v>192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2">
        <f t="shared" si="1"/>
        <v>5</v>
      </c>
      <c r="R326" s="2">
        <f t="shared" si="2"/>
        <v>0.146904334</v>
      </c>
      <c r="S326" s="2">
        <f t="shared" si="3"/>
        <v>0.292419354</v>
      </c>
      <c r="T326" s="2">
        <f t="shared" si="4"/>
        <v>0.050967742</v>
      </c>
      <c r="U326" s="2">
        <f t="shared" si="5"/>
        <v>99</v>
      </c>
      <c r="V326" s="2">
        <f t="shared" si="6"/>
        <v>99</v>
      </c>
      <c r="W326" s="2">
        <f t="shared" si="7"/>
        <v>100</v>
      </c>
      <c r="X326" s="2" t="str">
        <f t="shared" si="8"/>
        <v/>
      </c>
      <c r="Y326" s="2" t="str">
        <f t="shared" si="9"/>
        <v/>
      </c>
      <c r="Z326" s="2" t="str">
        <f t="shared" si="10"/>
        <v>full access</v>
      </c>
      <c r="AA326" s="2">
        <f t="shared" si="11"/>
        <v>0.241451612</v>
      </c>
      <c r="AB326" s="2">
        <f t="shared" si="12"/>
        <v>0.241451612</v>
      </c>
      <c r="AC326" s="2" t="str">
        <f>VLOOKUP(A326,Regions!$A$2:$B$233,2)</f>
        <v>Europe &amp; Central Asia</v>
      </c>
    </row>
    <row r="327">
      <c r="A327" s="1" t="s">
        <v>192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Q327" s="2" t="str">
        <f t="shared" si="1"/>
        <v/>
      </c>
      <c r="R327" s="2" t="str">
        <f t="shared" si="2"/>
        <v/>
      </c>
      <c r="S327" s="2" t="str">
        <f t="shared" si="3"/>
        <v/>
      </c>
      <c r="T327" s="2" t="str">
        <f t="shared" si="4"/>
        <v/>
      </c>
      <c r="U327" s="2">
        <f t="shared" si="5"/>
        <v>100</v>
      </c>
      <c r="V327" s="2">
        <f t="shared" si="6"/>
        <v>100</v>
      </c>
      <c r="W327" s="2">
        <f t="shared" si="7"/>
        <v>100</v>
      </c>
      <c r="X327" s="2" t="str">
        <f t="shared" si="8"/>
        <v/>
      </c>
      <c r="Y327" s="2" t="str">
        <f t="shared" si="9"/>
        <v/>
      </c>
      <c r="Z327" s="2" t="str">
        <f t="shared" si="10"/>
        <v/>
      </c>
      <c r="AA327" s="2">
        <f t="shared" si="11"/>
        <v>0</v>
      </c>
      <c r="AB327" s="2">
        <f t="shared" si="12"/>
        <v>0</v>
      </c>
      <c r="AC327" s="2" t="str">
        <f>VLOOKUP(A327,Regions!$A$2:$B$233,2)</f>
        <v>Europe &amp; Central Asia</v>
      </c>
    </row>
    <row r="328">
      <c r="A328" s="1" t="s">
        <v>193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2">
        <f t="shared" si="1"/>
        <v>5</v>
      </c>
      <c r="R328" s="2">
        <f t="shared" si="2"/>
        <v>0.001460766</v>
      </c>
      <c r="S328" s="2">
        <f t="shared" si="3"/>
        <v>0</v>
      </c>
      <c r="T328" s="2">
        <f t="shared" si="4"/>
        <v>0</v>
      </c>
      <c r="U328" s="2">
        <f t="shared" si="5"/>
        <v>100</v>
      </c>
      <c r="V328" s="2">
        <f t="shared" si="6"/>
        <v>100</v>
      </c>
      <c r="W328" s="2">
        <f t="shared" si="7"/>
        <v>100</v>
      </c>
      <c r="X328" s="2" t="str">
        <f t="shared" si="8"/>
        <v>full access</v>
      </c>
      <c r="Y328" s="2" t="str">
        <f t="shared" si="9"/>
        <v>full access</v>
      </c>
      <c r="Z328" s="2" t="str">
        <f t="shared" si="10"/>
        <v>full access</v>
      </c>
      <c r="AA328" s="2">
        <f t="shared" si="11"/>
        <v>0</v>
      </c>
      <c r="AB328" s="2">
        <f t="shared" si="12"/>
        <v>0</v>
      </c>
      <c r="AC328" s="2" t="str">
        <f>VLOOKUP(A328,Regions!$A$2:$B$233,2)</f>
        <v>Europe &amp; Central Asia</v>
      </c>
    </row>
    <row r="329">
      <c r="A329" s="1" t="s">
        <v>193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Q329" s="2" t="str">
        <f t="shared" si="1"/>
        <v/>
      </c>
      <c r="R329" s="2" t="str">
        <f t="shared" si="2"/>
        <v/>
      </c>
      <c r="S329" s="2" t="str">
        <f t="shared" si="3"/>
        <v/>
      </c>
      <c r="T329" s="2" t="str">
        <f t="shared" si="4"/>
        <v/>
      </c>
      <c r="U329" s="2">
        <f t="shared" si="5"/>
        <v>100</v>
      </c>
      <c r="V329" s="2">
        <f t="shared" si="6"/>
        <v>100</v>
      </c>
      <c r="W329" s="2">
        <f t="shared" si="7"/>
        <v>100</v>
      </c>
      <c r="X329" s="2" t="str">
        <f t="shared" si="8"/>
        <v/>
      </c>
      <c r="Y329" s="2" t="str">
        <f t="shared" si="9"/>
        <v/>
      </c>
      <c r="Z329" s="2" t="str">
        <f t="shared" si="10"/>
        <v/>
      </c>
      <c r="AA329" s="2">
        <f t="shared" si="11"/>
        <v>0</v>
      </c>
      <c r="AB329" s="2">
        <f t="shared" si="12"/>
        <v>0</v>
      </c>
      <c r="AC329" s="2" t="str">
        <f>VLOOKUP(A329,Regions!$A$2:$B$233,2)</f>
        <v>Europe &amp; Central Asia</v>
      </c>
    </row>
    <row r="330">
      <c r="A330" s="1" t="s">
        <v>194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33</v>
      </c>
      <c r="J330" s="1" t="s">
        <v>33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33</v>
      </c>
      <c r="Q330" s="2">
        <f t="shared" si="1"/>
        <v>5</v>
      </c>
      <c r="R330" s="2">
        <f t="shared" si="2"/>
        <v>0.114910048</v>
      </c>
      <c r="S330" s="2" t="str">
        <f t="shared" si="3"/>
        <v>null</v>
      </c>
      <c r="T330" s="2" t="str">
        <f t="shared" si="4"/>
        <v>null</v>
      </c>
      <c r="U330" s="2">
        <f t="shared" si="5"/>
        <v>99</v>
      </c>
      <c r="V330" s="2" t="str">
        <f t="shared" si="6"/>
        <v>null</v>
      </c>
      <c r="W330" s="2" t="str">
        <f t="shared" si="7"/>
        <v>null</v>
      </c>
      <c r="X330" s="2" t="str">
        <f t="shared" si="8"/>
        <v/>
      </c>
      <c r="Y330" s="2" t="str">
        <f t="shared" si="9"/>
        <v/>
      </c>
      <c r="Z330" s="2" t="str">
        <f t="shared" si="10"/>
        <v/>
      </c>
      <c r="AA330" s="2" t="str">
        <f t="shared" si="11"/>
        <v>null</v>
      </c>
      <c r="AB330" s="2" t="str">
        <f t="shared" si="12"/>
        <v>null</v>
      </c>
      <c r="AC330" s="2" t="str">
        <f>VLOOKUP(A330,Regions!$A$2:$B$233,2)</f>
        <v>Latin America &amp; Caribbean</v>
      </c>
    </row>
    <row r="331">
      <c r="A331" s="1" t="s">
        <v>194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33</v>
      </c>
      <c r="J331" s="1" t="s">
        <v>33</v>
      </c>
      <c r="K331" s="1" t="s">
        <v>33</v>
      </c>
      <c r="L331" s="1" t="s">
        <v>33</v>
      </c>
      <c r="M331" s="1" t="s">
        <v>33</v>
      </c>
      <c r="N331" s="1" t="s">
        <v>33</v>
      </c>
      <c r="O331" s="1" t="s">
        <v>33</v>
      </c>
      <c r="P331" s="1" t="s">
        <v>33</v>
      </c>
      <c r="Q331" s="2" t="str">
        <f t="shared" si="1"/>
        <v/>
      </c>
      <c r="R331" s="2" t="str">
        <f t="shared" si="2"/>
        <v/>
      </c>
      <c r="S331" s="2" t="str">
        <f t="shared" si="3"/>
        <v/>
      </c>
      <c r="T331" s="2" t="str">
        <f t="shared" si="4"/>
        <v/>
      </c>
      <c r="U331" s="2">
        <f t="shared" si="5"/>
        <v>100</v>
      </c>
      <c r="V331" s="2" t="str">
        <f t="shared" si="6"/>
        <v>null</v>
      </c>
      <c r="W331" s="2" t="str">
        <f t="shared" si="7"/>
        <v>null</v>
      </c>
      <c r="X331" s="2" t="str">
        <f t="shared" si="8"/>
        <v/>
      </c>
      <c r="Y331" s="2" t="str">
        <f t="shared" si="9"/>
        <v/>
      </c>
      <c r="Z331" s="2" t="str">
        <f t="shared" si="10"/>
        <v/>
      </c>
      <c r="AA331" s="2">
        <f t="shared" si="11"/>
        <v>0</v>
      </c>
      <c r="AB331" s="2">
        <f t="shared" si="12"/>
        <v>0</v>
      </c>
      <c r="AC331" s="2" t="str">
        <f>VLOOKUP(A331,Regions!$A$2:$B$233,2)</f>
        <v>Latin America &amp; Caribbean</v>
      </c>
    </row>
    <row r="332">
      <c r="A332" s="1" t="s">
        <v>195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33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33</v>
      </c>
      <c r="Q332" s="2">
        <f t="shared" si="1"/>
        <v>5</v>
      </c>
      <c r="R332" s="2">
        <f t="shared" si="2"/>
        <v>-0.024679888</v>
      </c>
      <c r="S332" s="2" t="str">
        <f t="shared" si="3"/>
        <v>null</v>
      </c>
      <c r="T332" s="2" t="str">
        <f t="shared" si="4"/>
        <v>null</v>
      </c>
      <c r="U332" s="2">
        <f t="shared" si="5"/>
        <v>100</v>
      </c>
      <c r="V332" s="2" t="str">
        <f t="shared" si="6"/>
        <v>null</v>
      </c>
      <c r="W332" s="2" t="str">
        <f t="shared" si="7"/>
        <v>null</v>
      </c>
      <c r="X332" s="2" t="str">
        <f t="shared" si="8"/>
        <v>full access</v>
      </c>
      <c r="Y332" s="2" t="str">
        <f t="shared" si="9"/>
        <v/>
      </c>
      <c r="Z332" s="2" t="str">
        <f t="shared" si="10"/>
        <v/>
      </c>
      <c r="AA332" s="2" t="str">
        <f t="shared" si="11"/>
        <v>null</v>
      </c>
      <c r="AB332" s="2" t="str">
        <f t="shared" si="12"/>
        <v>null</v>
      </c>
      <c r="AC332" s="2" t="str">
        <f>VLOOKUP(A332,Regions!$A$2:$B$233,2)</f>
        <v>Europe &amp; Central Asia</v>
      </c>
    </row>
    <row r="333">
      <c r="A333" s="1" t="s">
        <v>195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33</v>
      </c>
      <c r="J333" s="1" t="s">
        <v>33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33</v>
      </c>
      <c r="P333" s="1" t="s">
        <v>33</v>
      </c>
      <c r="Q333" s="2" t="str">
        <f t="shared" si="1"/>
        <v/>
      </c>
      <c r="R333" s="2" t="str">
        <f t="shared" si="2"/>
        <v/>
      </c>
      <c r="S333" s="2" t="str">
        <f t="shared" si="3"/>
        <v/>
      </c>
      <c r="T333" s="2" t="str">
        <f t="shared" si="4"/>
        <v/>
      </c>
      <c r="U333" s="2">
        <f t="shared" si="5"/>
        <v>100</v>
      </c>
      <c r="V333" s="2" t="str">
        <f t="shared" si="6"/>
        <v>null</v>
      </c>
      <c r="W333" s="2" t="str">
        <f t="shared" si="7"/>
        <v>null</v>
      </c>
      <c r="X333" s="2" t="str">
        <f t="shared" si="8"/>
        <v/>
      </c>
      <c r="Y333" s="2" t="str">
        <f t="shared" si="9"/>
        <v/>
      </c>
      <c r="Z333" s="2" t="str">
        <f t="shared" si="10"/>
        <v/>
      </c>
      <c r="AA333" s="2">
        <f t="shared" si="11"/>
        <v>0</v>
      </c>
      <c r="AB333" s="2">
        <f t="shared" si="12"/>
        <v>0</v>
      </c>
      <c r="AC333" s="2" t="str">
        <f>VLOOKUP(A333,Regions!$A$2:$B$233,2)</f>
        <v>Europe &amp; Central Asia</v>
      </c>
    </row>
    <row r="334">
      <c r="A334" s="1" t="s">
        <v>196</v>
      </c>
      <c r="B334" s="1">
        <v>2015.0</v>
      </c>
      <c r="C334" s="1">
        <v>50823.08594</v>
      </c>
      <c r="D334" s="1">
        <v>81.63400269</v>
      </c>
      <c r="E334" s="1">
        <v>99.47274641</v>
      </c>
      <c r="F334" s="1">
        <v>0.0</v>
      </c>
      <c r="G334" s="1">
        <v>0.5272535907</v>
      </c>
      <c r="H334" s="1">
        <v>0.0</v>
      </c>
      <c r="I334" s="1" t="s">
        <v>33</v>
      </c>
      <c r="J334" s="1" t="s">
        <v>33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33</v>
      </c>
      <c r="Q334" s="2">
        <f t="shared" si="1"/>
        <v>5</v>
      </c>
      <c r="R334" s="2">
        <f t="shared" si="2"/>
        <v>0.091730048</v>
      </c>
      <c r="S334" s="2" t="str">
        <f t="shared" si="3"/>
        <v>null</v>
      </c>
      <c r="T334" s="2" t="str">
        <f t="shared" si="4"/>
        <v>null</v>
      </c>
      <c r="U334" s="2">
        <f t="shared" si="5"/>
        <v>99</v>
      </c>
      <c r="V334" s="2" t="str">
        <f t="shared" si="6"/>
        <v>null</v>
      </c>
      <c r="W334" s="2" t="str">
        <f t="shared" si="7"/>
        <v>null</v>
      </c>
      <c r="X334" s="2" t="str">
        <f t="shared" si="8"/>
        <v/>
      </c>
      <c r="Y334" s="2" t="str">
        <f t="shared" si="9"/>
        <v/>
      </c>
      <c r="Z334" s="2" t="str">
        <f t="shared" si="10"/>
        <v/>
      </c>
      <c r="AA334" s="2" t="str">
        <f t="shared" si="11"/>
        <v>null</v>
      </c>
      <c r="AB334" s="2" t="str">
        <f t="shared" si="12"/>
        <v>null</v>
      </c>
      <c r="AC334" s="2" t="str">
        <f>VLOOKUP(A334,Regions!$A$2:$B$233,2)</f>
        <v>East Asia &amp; Pacific</v>
      </c>
    </row>
    <row r="335">
      <c r="A335" s="1" t="s">
        <v>196</v>
      </c>
      <c r="B335" s="1">
        <v>2020.0</v>
      </c>
      <c r="C335" s="1">
        <v>51269.18359</v>
      </c>
      <c r="D335" s="1">
        <v>81.41400146</v>
      </c>
      <c r="E335" s="1">
        <v>99.93139665</v>
      </c>
      <c r="F335" s="1">
        <v>0.0</v>
      </c>
      <c r="G335" s="1">
        <v>0.06860335296</v>
      </c>
      <c r="H335" s="1">
        <v>0.0</v>
      </c>
      <c r="I335" s="1" t="s">
        <v>33</v>
      </c>
      <c r="J335" s="1" t="s">
        <v>33</v>
      </c>
      <c r="K335" s="1" t="s">
        <v>33</v>
      </c>
      <c r="L335" s="1" t="s">
        <v>33</v>
      </c>
      <c r="M335" s="1" t="s">
        <v>33</v>
      </c>
      <c r="N335" s="1" t="s">
        <v>33</v>
      </c>
      <c r="O335" s="1" t="s">
        <v>33</v>
      </c>
      <c r="P335" s="1" t="s">
        <v>33</v>
      </c>
      <c r="Q335" s="2" t="str">
        <f t="shared" si="1"/>
        <v/>
      </c>
      <c r="R335" s="2" t="str">
        <f t="shared" si="2"/>
        <v/>
      </c>
      <c r="S335" s="2" t="str">
        <f t="shared" si="3"/>
        <v/>
      </c>
      <c r="T335" s="2" t="str">
        <f t="shared" si="4"/>
        <v/>
      </c>
      <c r="U335" s="2">
        <f t="shared" si="5"/>
        <v>100</v>
      </c>
      <c r="V335" s="2" t="str">
        <f t="shared" si="6"/>
        <v>null</v>
      </c>
      <c r="W335" s="2" t="str">
        <f t="shared" si="7"/>
        <v>null</v>
      </c>
      <c r="X335" s="2" t="str">
        <f t="shared" si="8"/>
        <v/>
      </c>
      <c r="Y335" s="2" t="str">
        <f t="shared" si="9"/>
        <v/>
      </c>
      <c r="Z335" s="2" t="str">
        <f t="shared" si="10"/>
        <v/>
      </c>
      <c r="AA335" s="2">
        <f t="shared" si="11"/>
        <v>0</v>
      </c>
      <c r="AB335" s="2">
        <f t="shared" si="12"/>
        <v>0</v>
      </c>
      <c r="AC335" s="2" t="str">
        <f>VLOOKUP(A335,Regions!$A$2:$B$233,2)</f>
        <v>East Asia &amp; Pacific</v>
      </c>
    </row>
    <row r="336">
      <c r="A336" s="1" t="s">
        <v>197</v>
      </c>
      <c r="B336" s="1">
        <v>2015.0</v>
      </c>
      <c r="C336" s="1">
        <v>4070.705078</v>
      </c>
      <c r="D336" s="1">
        <v>42.48999786</v>
      </c>
      <c r="E336" s="1">
        <v>88.5760319</v>
      </c>
      <c r="F336" s="1">
        <v>1.485629517</v>
      </c>
      <c r="G336" s="1">
        <v>9.938338582</v>
      </c>
      <c r="H336" s="1">
        <v>0.0</v>
      </c>
      <c r="I336" s="1">
        <v>82.54249075</v>
      </c>
      <c r="J336" s="1">
        <v>1.470222482</v>
      </c>
      <c r="K336" s="1">
        <v>15.98728677</v>
      </c>
      <c r="L336" s="1">
        <v>0.0</v>
      </c>
      <c r="M336" s="1">
        <v>96.7423994</v>
      </c>
      <c r="N336" s="1">
        <v>1.506482861</v>
      </c>
      <c r="O336" s="1">
        <v>1.751117739</v>
      </c>
      <c r="P336" s="1">
        <v>0.0</v>
      </c>
      <c r="Q336" s="2">
        <f t="shared" si="1"/>
        <v>5</v>
      </c>
      <c r="R336" s="2">
        <f t="shared" si="2"/>
        <v>0.398786068</v>
      </c>
      <c r="S336" s="2">
        <f t="shared" si="3"/>
        <v>0.587709474</v>
      </c>
      <c r="T336" s="2">
        <f t="shared" si="4"/>
        <v>0.123009016</v>
      </c>
      <c r="U336" s="2">
        <f t="shared" si="5"/>
        <v>89</v>
      </c>
      <c r="V336" s="2">
        <f t="shared" si="6"/>
        <v>83</v>
      </c>
      <c r="W336" s="2">
        <f t="shared" si="7"/>
        <v>97</v>
      </c>
      <c r="X336" s="2" t="str">
        <f t="shared" si="8"/>
        <v/>
      </c>
      <c r="Y336" s="2" t="str">
        <f t="shared" si="9"/>
        <v/>
      </c>
      <c r="Z336" s="2" t="str">
        <f t="shared" si="10"/>
        <v/>
      </c>
      <c r="AA336" s="2">
        <f t="shared" si="11"/>
        <v>0.464700458</v>
      </c>
      <c r="AB336" s="2">
        <f t="shared" si="12"/>
        <v>0.464700458</v>
      </c>
      <c r="AC336" s="2" t="str">
        <f>VLOOKUP(A336,Regions!$A$2:$B$233,2)</f>
        <v>Europe &amp; Central Asia</v>
      </c>
    </row>
    <row r="337">
      <c r="A337" s="1" t="s">
        <v>197</v>
      </c>
      <c r="B337" s="1">
        <v>2020.0</v>
      </c>
      <c r="C337" s="1">
        <v>4033.962891</v>
      </c>
      <c r="D337" s="1">
        <v>42.84900284</v>
      </c>
      <c r="E337" s="1">
        <v>90.56996224</v>
      </c>
      <c r="F337" s="1">
        <v>1.519776762</v>
      </c>
      <c r="G337" s="1">
        <v>7.910260997</v>
      </c>
      <c r="H337" s="1">
        <v>0.0</v>
      </c>
      <c r="I337" s="1">
        <v>85.48103812</v>
      </c>
      <c r="J337" s="1">
        <v>1.52256302</v>
      </c>
      <c r="K337" s="1">
        <v>12.99639886</v>
      </c>
      <c r="L337" s="1">
        <v>0.0</v>
      </c>
      <c r="M337" s="1">
        <v>97.35744448</v>
      </c>
      <c r="N337" s="1">
        <v>1.516060408</v>
      </c>
      <c r="O337" s="1">
        <v>1.126495111</v>
      </c>
      <c r="P337" s="1">
        <v>0.0</v>
      </c>
      <c r="Q337" s="2" t="str">
        <f t="shared" si="1"/>
        <v/>
      </c>
      <c r="R337" s="2" t="str">
        <f t="shared" si="2"/>
        <v/>
      </c>
      <c r="S337" s="2" t="str">
        <f t="shared" si="3"/>
        <v/>
      </c>
      <c r="T337" s="2" t="str">
        <f t="shared" si="4"/>
        <v/>
      </c>
      <c r="U337" s="2">
        <f t="shared" si="5"/>
        <v>91</v>
      </c>
      <c r="V337" s="2">
        <f t="shared" si="6"/>
        <v>85</v>
      </c>
      <c r="W337" s="2">
        <f t="shared" si="7"/>
        <v>97</v>
      </c>
      <c r="X337" s="2" t="str">
        <f t="shared" si="8"/>
        <v/>
      </c>
      <c r="Y337" s="2" t="str">
        <f t="shared" si="9"/>
        <v/>
      </c>
      <c r="Z337" s="2" t="str">
        <f t="shared" si="10"/>
        <v/>
      </c>
      <c r="AA337" s="2">
        <f t="shared" si="11"/>
        <v>0</v>
      </c>
      <c r="AB337" s="2">
        <f t="shared" si="12"/>
        <v>0</v>
      </c>
      <c r="AC337" s="2" t="str">
        <f>VLOOKUP(A337,Regions!$A$2:$B$233,2)</f>
        <v>Europe &amp; Central Asia</v>
      </c>
    </row>
    <row r="338">
      <c r="A338" s="1" t="s">
        <v>198</v>
      </c>
      <c r="B338" s="1">
        <v>2015.0</v>
      </c>
      <c r="C338" s="1">
        <v>863.3590088</v>
      </c>
      <c r="D338" s="1">
        <v>99.33900452</v>
      </c>
      <c r="E338" s="1">
        <v>99.91153019</v>
      </c>
      <c r="F338" s="1">
        <v>0.0</v>
      </c>
      <c r="G338" s="1">
        <v>0.0884698141</v>
      </c>
      <c r="H338" s="1">
        <v>0.0</v>
      </c>
      <c r="I338" s="1" t="s">
        <v>33</v>
      </c>
      <c r="J338" s="1" t="s">
        <v>33</v>
      </c>
      <c r="K338" s="1" t="s">
        <v>33</v>
      </c>
      <c r="L338" s="1" t="s">
        <v>33</v>
      </c>
      <c r="M338" s="1" t="s">
        <v>33</v>
      </c>
      <c r="N338" s="1" t="s">
        <v>33</v>
      </c>
      <c r="O338" s="1" t="s">
        <v>33</v>
      </c>
      <c r="P338" s="1" t="s">
        <v>33</v>
      </c>
      <c r="Q338" s="2">
        <f t="shared" si="1"/>
        <v>5</v>
      </c>
      <c r="R338" s="2">
        <f t="shared" si="2"/>
        <v>0.017693962</v>
      </c>
      <c r="S338" s="2" t="str">
        <f t="shared" si="3"/>
        <v>null</v>
      </c>
      <c r="T338" s="2" t="str">
        <f t="shared" si="4"/>
        <v>null</v>
      </c>
      <c r="U338" s="2">
        <f t="shared" si="5"/>
        <v>100</v>
      </c>
      <c r="V338" s="2" t="str">
        <f t="shared" si="6"/>
        <v>null</v>
      </c>
      <c r="W338" s="2" t="str">
        <f t="shared" si="7"/>
        <v>null</v>
      </c>
      <c r="X338" s="2" t="str">
        <f t="shared" si="8"/>
        <v>full access</v>
      </c>
      <c r="Y338" s="2" t="str">
        <f t="shared" si="9"/>
        <v/>
      </c>
      <c r="Z338" s="2" t="str">
        <f t="shared" si="10"/>
        <v/>
      </c>
      <c r="AA338" s="2" t="str">
        <f t="shared" si="11"/>
        <v>null</v>
      </c>
      <c r="AB338" s="2" t="str">
        <f t="shared" si="12"/>
        <v>null</v>
      </c>
      <c r="AC338" s="2" t="str">
        <f>VLOOKUP(A338,Regions!$A$2:$B$233,2)</f>
        <v>Sub-Saharan Africa</v>
      </c>
    </row>
    <row r="339">
      <c r="A339" s="1" t="s">
        <v>198</v>
      </c>
      <c r="B339" s="1">
        <v>2020.0</v>
      </c>
      <c r="C339" s="1">
        <v>895.3079834</v>
      </c>
      <c r="D339" s="1">
        <v>99.65900421</v>
      </c>
      <c r="E339" s="1">
        <v>100.0</v>
      </c>
      <c r="F339" s="1">
        <v>0.0</v>
      </c>
      <c r="G339" s="1">
        <v>0.0</v>
      </c>
      <c r="H339" s="1">
        <v>0.0</v>
      </c>
      <c r="I339" s="1" t="s">
        <v>33</v>
      </c>
      <c r="J339" s="1" t="s">
        <v>33</v>
      </c>
      <c r="K339" s="1" t="s">
        <v>33</v>
      </c>
      <c r="L339" s="1" t="s">
        <v>33</v>
      </c>
      <c r="M339" s="1" t="s">
        <v>33</v>
      </c>
      <c r="N339" s="1" t="s">
        <v>33</v>
      </c>
      <c r="O339" s="1" t="s">
        <v>33</v>
      </c>
      <c r="P339" s="1" t="s">
        <v>33</v>
      </c>
      <c r="Q339" s="2" t="str">
        <f t="shared" si="1"/>
        <v/>
      </c>
      <c r="R339" s="2" t="str">
        <f t="shared" si="2"/>
        <v/>
      </c>
      <c r="S339" s="2" t="str">
        <f t="shared" si="3"/>
        <v/>
      </c>
      <c r="T339" s="2" t="str">
        <f t="shared" si="4"/>
        <v/>
      </c>
      <c r="U339" s="2">
        <f t="shared" si="5"/>
        <v>100</v>
      </c>
      <c r="V339" s="2" t="str">
        <f t="shared" si="6"/>
        <v>null</v>
      </c>
      <c r="W339" s="2" t="str">
        <f t="shared" si="7"/>
        <v>null</v>
      </c>
      <c r="X339" s="2" t="str">
        <f t="shared" si="8"/>
        <v/>
      </c>
      <c r="Y339" s="2" t="str">
        <f t="shared" si="9"/>
        <v/>
      </c>
      <c r="Z339" s="2" t="str">
        <f t="shared" si="10"/>
        <v/>
      </c>
      <c r="AA339" s="2">
        <f t="shared" si="11"/>
        <v>0</v>
      </c>
      <c r="AB339" s="2">
        <f t="shared" si="12"/>
        <v>0</v>
      </c>
      <c r="AC339" s="2" t="str">
        <f>VLOOKUP(A339,Regions!$A$2:$B$233,2)</f>
        <v>Sub-Saharan Africa</v>
      </c>
    </row>
    <row r="340">
      <c r="A340" s="1" t="s">
        <v>199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2">
        <f t="shared" si="1"/>
        <v>5</v>
      </c>
      <c r="R340" s="2">
        <f t="shared" si="2"/>
        <v>0</v>
      </c>
      <c r="S340" s="2">
        <f t="shared" si="3"/>
        <v>0</v>
      </c>
      <c r="T340" s="2">
        <f t="shared" si="4"/>
        <v>0</v>
      </c>
      <c r="U340" s="2">
        <f t="shared" si="5"/>
        <v>100</v>
      </c>
      <c r="V340" s="2">
        <f t="shared" si="6"/>
        <v>100</v>
      </c>
      <c r="W340" s="2">
        <f t="shared" si="7"/>
        <v>100</v>
      </c>
      <c r="X340" s="2" t="str">
        <f t="shared" si="8"/>
        <v>full access</v>
      </c>
      <c r="Y340" s="2" t="str">
        <f t="shared" si="9"/>
        <v>full access</v>
      </c>
      <c r="Z340" s="2" t="str">
        <f t="shared" si="10"/>
        <v>full access</v>
      </c>
      <c r="AA340" s="2">
        <f t="shared" si="11"/>
        <v>0</v>
      </c>
      <c r="AB340" s="2">
        <f t="shared" si="12"/>
        <v>0</v>
      </c>
      <c r="AC340" s="2" t="str">
        <f>VLOOKUP(A340,Regions!$A$2:$B$233,2)</f>
        <v>Europe &amp; Central Asia</v>
      </c>
    </row>
    <row r="341">
      <c r="A341" s="1" t="s">
        <v>199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Q341" s="2" t="str">
        <f t="shared" si="1"/>
        <v/>
      </c>
      <c r="R341" s="2" t="str">
        <f t="shared" si="2"/>
        <v/>
      </c>
      <c r="S341" s="2" t="str">
        <f t="shared" si="3"/>
        <v/>
      </c>
      <c r="T341" s="2" t="str">
        <f t="shared" si="4"/>
        <v/>
      </c>
      <c r="U341" s="2">
        <f t="shared" si="5"/>
        <v>100</v>
      </c>
      <c r="V341" s="2">
        <f t="shared" si="6"/>
        <v>100</v>
      </c>
      <c r="W341" s="2">
        <f t="shared" si="7"/>
        <v>100</v>
      </c>
      <c r="X341" s="2" t="str">
        <f t="shared" si="8"/>
        <v/>
      </c>
      <c r="Y341" s="2" t="str">
        <f t="shared" si="9"/>
        <v/>
      </c>
      <c r="Z341" s="2" t="str">
        <f t="shared" si="10"/>
        <v/>
      </c>
      <c r="AA341" s="2">
        <f t="shared" si="11"/>
        <v>0</v>
      </c>
      <c r="AB341" s="2">
        <f t="shared" si="12"/>
        <v>0</v>
      </c>
      <c r="AC341" s="2" t="str">
        <f>VLOOKUP(A341,Regions!$A$2:$B$233,2)</f>
        <v>Europe &amp; Central Asia</v>
      </c>
    </row>
    <row r="342">
      <c r="A342" s="1" t="s">
        <v>200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33</v>
      </c>
      <c r="I342" s="1">
        <v>90.11010901</v>
      </c>
      <c r="J342" s="1">
        <v>1.558364042</v>
      </c>
      <c r="K342" s="1">
        <v>8.331526946</v>
      </c>
      <c r="L342" s="1" t="s">
        <v>33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2">
        <f t="shared" si="1"/>
        <v>5</v>
      </c>
      <c r="R342" s="2">
        <f t="shared" si="2"/>
        <v>0.093078528</v>
      </c>
      <c r="S342" s="2">
        <f t="shared" si="3"/>
        <v>0.28679859</v>
      </c>
      <c r="T342" s="2">
        <f t="shared" si="4"/>
        <v>0.011332944</v>
      </c>
      <c r="U342" s="2">
        <f t="shared" si="5"/>
        <v>97</v>
      </c>
      <c r="V342" s="2">
        <f t="shared" si="6"/>
        <v>90</v>
      </c>
      <c r="W342" s="2">
        <f t="shared" si="7"/>
        <v>99</v>
      </c>
      <c r="X342" s="2" t="str">
        <f t="shared" si="8"/>
        <v/>
      </c>
      <c r="Y342" s="2" t="str">
        <f t="shared" si="9"/>
        <v/>
      </c>
      <c r="Z342" s="2" t="str">
        <f t="shared" si="10"/>
        <v/>
      </c>
      <c r="AA342" s="2">
        <f t="shared" si="11"/>
        <v>0.275465646</v>
      </c>
      <c r="AB342" s="2">
        <f t="shared" si="12"/>
        <v>0.275465646</v>
      </c>
      <c r="AC342" s="2" t="str">
        <f>VLOOKUP(A342,Regions!$A$2:$B$233,2)</f>
        <v>Europe &amp; Central Asia</v>
      </c>
    </row>
    <row r="343">
      <c r="A343" s="1" t="s">
        <v>200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33</v>
      </c>
      <c r="I343" s="1">
        <v>91.54410196</v>
      </c>
      <c r="J343" s="1">
        <v>1.583163513</v>
      </c>
      <c r="K343" s="1">
        <v>6.872734531</v>
      </c>
      <c r="L343" s="1" t="s">
        <v>33</v>
      </c>
      <c r="M343" s="1">
        <v>98.83259961</v>
      </c>
      <c r="N343" s="1">
        <v>0.2973899687</v>
      </c>
      <c r="O343" s="1">
        <v>0.6700104236</v>
      </c>
      <c r="P343" s="1">
        <v>0.2</v>
      </c>
      <c r="Q343" s="2" t="str">
        <f t="shared" si="1"/>
        <v/>
      </c>
      <c r="R343" s="2" t="str">
        <f t="shared" si="2"/>
        <v/>
      </c>
      <c r="S343" s="2" t="str">
        <f t="shared" si="3"/>
        <v/>
      </c>
      <c r="T343" s="2" t="str">
        <f t="shared" si="4"/>
        <v/>
      </c>
      <c r="U343" s="2">
        <f t="shared" si="5"/>
        <v>97</v>
      </c>
      <c r="V343" s="2">
        <f t="shared" si="6"/>
        <v>92</v>
      </c>
      <c r="W343" s="2">
        <f t="shared" si="7"/>
        <v>99</v>
      </c>
      <c r="X343" s="2" t="str">
        <f t="shared" si="8"/>
        <v/>
      </c>
      <c r="Y343" s="2" t="str">
        <f t="shared" si="9"/>
        <v/>
      </c>
      <c r="Z343" s="2" t="str">
        <f t="shared" si="10"/>
        <v/>
      </c>
      <c r="AA343" s="2">
        <f t="shared" si="11"/>
        <v>0</v>
      </c>
      <c r="AB343" s="2">
        <f t="shared" si="12"/>
        <v>0</v>
      </c>
      <c r="AC343" s="2" t="str">
        <f>VLOOKUP(A343,Regions!$A$2:$B$233,2)</f>
        <v>Europe &amp; Central Asia</v>
      </c>
    </row>
    <row r="344">
      <c r="A344" s="1" t="s">
        <v>201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2">
        <f t="shared" si="1"/>
        <v>5</v>
      </c>
      <c r="R344" s="2">
        <f t="shared" si="2"/>
        <v>0.658545426</v>
      </c>
      <c r="S344" s="2">
        <f t="shared" si="3"/>
        <v>0.657951734</v>
      </c>
      <c r="T344" s="2">
        <f t="shared" si="4"/>
        <v>0.523632384</v>
      </c>
      <c r="U344" s="2">
        <f t="shared" si="5"/>
        <v>57</v>
      </c>
      <c r="V344" s="2">
        <f t="shared" si="6"/>
        <v>52</v>
      </c>
      <c r="W344" s="2">
        <f t="shared" si="7"/>
        <v>80</v>
      </c>
      <c r="X344" s="2" t="str">
        <f t="shared" si="8"/>
        <v/>
      </c>
      <c r="Y344" s="2" t="str">
        <f t="shared" si="9"/>
        <v/>
      </c>
      <c r="Z344" s="2" t="str">
        <f t="shared" si="10"/>
        <v/>
      </c>
      <c r="AA344" s="2">
        <f t="shared" si="11"/>
        <v>0.13431935</v>
      </c>
      <c r="AB344" s="2">
        <f t="shared" si="12"/>
        <v>0.13431935</v>
      </c>
      <c r="AC344" s="2" t="str">
        <f>VLOOKUP(A344,Regions!$A$2:$B$233,2)</f>
        <v>Sub-Saharan Africa</v>
      </c>
    </row>
    <row r="345">
      <c r="A345" s="1" t="s">
        <v>201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Q345" s="2" t="str">
        <f t="shared" si="1"/>
        <v/>
      </c>
      <c r="R345" s="2" t="str">
        <f t="shared" si="2"/>
        <v/>
      </c>
      <c r="S345" s="2" t="str">
        <f t="shared" si="3"/>
        <v/>
      </c>
      <c r="T345" s="2" t="str">
        <f t="shared" si="4"/>
        <v/>
      </c>
      <c r="U345" s="2">
        <f t="shared" si="5"/>
        <v>60</v>
      </c>
      <c r="V345" s="2">
        <f t="shared" si="6"/>
        <v>56</v>
      </c>
      <c r="W345" s="2">
        <f t="shared" si="7"/>
        <v>83</v>
      </c>
      <c r="X345" s="2" t="str">
        <f t="shared" si="8"/>
        <v/>
      </c>
      <c r="Y345" s="2" t="str">
        <f t="shared" si="9"/>
        <v/>
      </c>
      <c r="Z345" s="2" t="str">
        <f t="shared" si="10"/>
        <v/>
      </c>
      <c r="AA345" s="2">
        <f t="shared" si="11"/>
        <v>0</v>
      </c>
      <c r="AB345" s="2">
        <f t="shared" si="12"/>
        <v>0</v>
      </c>
      <c r="AC345" s="2" t="str">
        <f>VLOOKUP(A345,Regions!$A$2:$B$233,2)</f>
        <v>Sub-Saharan Africa</v>
      </c>
    </row>
    <row r="346">
      <c r="A346" s="1" t="s">
        <v>202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33</v>
      </c>
      <c r="J346" s="1" t="s">
        <v>33</v>
      </c>
      <c r="K346" s="1" t="s">
        <v>33</v>
      </c>
      <c r="L346" s="1" t="s">
        <v>33</v>
      </c>
      <c r="M346" s="1">
        <v>99.96491927</v>
      </c>
      <c r="N346" s="1">
        <v>0.0</v>
      </c>
      <c r="O346" s="1">
        <v>0.0350807263</v>
      </c>
      <c r="P346" s="1">
        <v>0.0</v>
      </c>
      <c r="Q346" s="2">
        <f t="shared" si="1"/>
        <v>5</v>
      </c>
      <c r="R346" s="2">
        <f t="shared" si="2"/>
        <v>0.007016146</v>
      </c>
      <c r="S346" s="2" t="str">
        <f t="shared" si="3"/>
        <v>null</v>
      </c>
      <c r="T346" s="2">
        <f t="shared" si="4"/>
        <v>0.007016146</v>
      </c>
      <c r="U346" s="2">
        <f t="shared" si="5"/>
        <v>100</v>
      </c>
      <c r="V346" s="2" t="str">
        <f t="shared" si="6"/>
        <v>null</v>
      </c>
      <c r="W346" s="2">
        <f t="shared" si="7"/>
        <v>100</v>
      </c>
      <c r="X346" s="2" t="str">
        <f t="shared" si="8"/>
        <v>full access</v>
      </c>
      <c r="Y346" s="2" t="str">
        <f t="shared" si="9"/>
        <v/>
      </c>
      <c r="Z346" s="2" t="str">
        <f t="shared" si="10"/>
        <v>full access</v>
      </c>
      <c r="AA346" s="2" t="str">
        <f t="shared" si="11"/>
        <v>null</v>
      </c>
      <c r="AB346" s="2" t="str">
        <f t="shared" si="12"/>
        <v>null</v>
      </c>
      <c r="AC346" s="2" t="str">
        <f>VLOOKUP(A346,Regions!$A$2:$B$233,2)</f>
        <v>Latin America &amp; Caribbean</v>
      </c>
    </row>
    <row r="347">
      <c r="A347" s="1" t="s">
        <v>202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33</v>
      </c>
      <c r="J347" s="1" t="s">
        <v>33</v>
      </c>
      <c r="K347" s="1" t="s">
        <v>33</v>
      </c>
      <c r="L347" s="1" t="s">
        <v>33</v>
      </c>
      <c r="M347" s="1">
        <v>100.0</v>
      </c>
      <c r="N347" s="1">
        <v>0.0</v>
      </c>
      <c r="O347" s="1">
        <v>0.0</v>
      </c>
      <c r="P347" s="1">
        <v>0.0</v>
      </c>
      <c r="Q347" s="2" t="str">
        <f t="shared" si="1"/>
        <v/>
      </c>
      <c r="R347" s="2" t="str">
        <f t="shared" si="2"/>
        <v/>
      </c>
      <c r="S347" s="2" t="str">
        <f t="shared" si="3"/>
        <v/>
      </c>
      <c r="T347" s="2" t="str">
        <f t="shared" si="4"/>
        <v/>
      </c>
      <c r="U347" s="2">
        <f t="shared" si="5"/>
        <v>100</v>
      </c>
      <c r="V347" s="2" t="str">
        <f t="shared" si="6"/>
        <v>null</v>
      </c>
      <c r="W347" s="2">
        <f t="shared" si="7"/>
        <v>100</v>
      </c>
      <c r="X347" s="2" t="str">
        <f t="shared" si="8"/>
        <v/>
      </c>
      <c r="Y347" s="2" t="str">
        <f t="shared" si="9"/>
        <v/>
      </c>
      <c r="Z347" s="2" t="str">
        <f t="shared" si="10"/>
        <v/>
      </c>
      <c r="AA347" s="2">
        <f t="shared" si="11"/>
        <v>0</v>
      </c>
      <c r="AB347" s="2">
        <f t="shared" si="12"/>
        <v>0</v>
      </c>
      <c r="AC347" s="2" t="str">
        <f>VLOOKUP(A347,Regions!$A$2:$B$233,2)</f>
        <v>Latin America &amp; Caribbean</v>
      </c>
    </row>
    <row r="348">
      <c r="A348" s="1" t="s">
        <v>203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33</v>
      </c>
      <c r="J348" s="1" t="s">
        <v>33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33</v>
      </c>
      <c r="P348" s="1" t="s">
        <v>33</v>
      </c>
      <c r="Q348" s="2">
        <f t="shared" si="1"/>
        <v>5</v>
      </c>
      <c r="R348" s="2">
        <f t="shared" si="2"/>
        <v>0.03</v>
      </c>
      <c r="S348" s="2" t="str">
        <f t="shared" si="3"/>
        <v>null</v>
      </c>
      <c r="T348" s="2" t="str">
        <f t="shared" si="4"/>
        <v>null</v>
      </c>
      <c r="U348" s="2">
        <f t="shared" si="5"/>
        <v>99</v>
      </c>
      <c r="V348" s="2" t="str">
        <f t="shared" si="6"/>
        <v>null</v>
      </c>
      <c r="W348" s="2" t="str">
        <f t="shared" si="7"/>
        <v>null</v>
      </c>
      <c r="X348" s="2" t="str">
        <f t="shared" si="8"/>
        <v/>
      </c>
      <c r="Y348" s="2" t="str">
        <f t="shared" si="9"/>
        <v/>
      </c>
      <c r="Z348" s="2" t="str">
        <f t="shared" si="10"/>
        <v/>
      </c>
      <c r="AA348" s="2" t="str">
        <f t="shared" si="11"/>
        <v>null</v>
      </c>
      <c r="AB348" s="2" t="str">
        <f t="shared" si="12"/>
        <v>null</v>
      </c>
      <c r="AC348" s="2" t="str">
        <f>VLOOKUP(A348,Regions!$A$2:$B$233,2)</f>
        <v>Sub-Saharan Africa</v>
      </c>
    </row>
    <row r="349">
      <c r="A349" s="1" t="s">
        <v>203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33</v>
      </c>
      <c r="J349" s="1" t="s">
        <v>33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33</v>
      </c>
      <c r="P349" s="1" t="s">
        <v>33</v>
      </c>
      <c r="Q349" s="2" t="str">
        <f t="shared" si="1"/>
        <v/>
      </c>
      <c r="R349" s="2" t="str">
        <f t="shared" si="2"/>
        <v/>
      </c>
      <c r="S349" s="2" t="str">
        <f t="shared" si="3"/>
        <v/>
      </c>
      <c r="T349" s="2" t="str">
        <f t="shared" si="4"/>
        <v/>
      </c>
      <c r="U349" s="2">
        <f t="shared" si="5"/>
        <v>99</v>
      </c>
      <c r="V349" s="2" t="str">
        <f t="shared" si="6"/>
        <v>null</v>
      </c>
      <c r="W349" s="2" t="str">
        <f t="shared" si="7"/>
        <v>null</v>
      </c>
      <c r="X349" s="2" t="str">
        <f t="shared" si="8"/>
        <v/>
      </c>
      <c r="Y349" s="2" t="str">
        <f t="shared" si="9"/>
        <v/>
      </c>
      <c r="Z349" s="2" t="str">
        <f t="shared" si="10"/>
        <v/>
      </c>
      <c r="AA349" s="2">
        <f t="shared" si="11"/>
        <v>0</v>
      </c>
      <c r="AB349" s="2">
        <f t="shared" si="12"/>
        <v>0</v>
      </c>
      <c r="AC349" s="2" t="str">
        <f>VLOOKUP(A349,Regions!$A$2:$B$233,2)</f>
        <v>Sub-Saharan Africa</v>
      </c>
    </row>
    <row r="350">
      <c r="A350" s="1" t="s">
        <v>204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33</v>
      </c>
      <c r="J350" s="1" t="s">
        <v>33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33</v>
      </c>
      <c r="Q350" s="2">
        <f t="shared" si="1"/>
        <v>2</v>
      </c>
      <c r="R350" s="2">
        <f t="shared" si="2"/>
        <v>0</v>
      </c>
      <c r="S350" s="2" t="str">
        <f t="shared" si="3"/>
        <v>null</v>
      </c>
      <c r="T350" s="2" t="str">
        <f t="shared" si="4"/>
        <v>null</v>
      </c>
      <c r="U350" s="2">
        <f t="shared" si="5"/>
        <v>99</v>
      </c>
      <c r="V350" s="2" t="str">
        <f t="shared" si="6"/>
        <v>null</v>
      </c>
      <c r="W350" s="2" t="str">
        <f t="shared" si="7"/>
        <v>null</v>
      </c>
      <c r="X350" s="2" t="str">
        <f t="shared" si="8"/>
        <v/>
      </c>
      <c r="Y350" s="2" t="str">
        <f t="shared" si="9"/>
        <v/>
      </c>
      <c r="Z350" s="2" t="str">
        <f t="shared" si="10"/>
        <v/>
      </c>
      <c r="AA350" s="2" t="str">
        <f t="shared" si="11"/>
        <v>null</v>
      </c>
      <c r="AB350" s="2" t="str">
        <f t="shared" si="12"/>
        <v>null</v>
      </c>
      <c r="AC350" s="2" t="str">
        <f>VLOOKUP(A350,Regions!$A$2:$B$233,2)</f>
        <v>Latin America &amp; Caribbean</v>
      </c>
    </row>
    <row r="351">
      <c r="A351" s="1" t="s">
        <v>204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33</v>
      </c>
      <c r="J351" s="1" t="s">
        <v>33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33</v>
      </c>
      <c r="P351" s="1" t="s">
        <v>33</v>
      </c>
      <c r="Q351" s="2" t="str">
        <f t="shared" si="1"/>
        <v/>
      </c>
      <c r="R351" s="2" t="str">
        <f t="shared" si="2"/>
        <v/>
      </c>
      <c r="S351" s="2" t="str">
        <f t="shared" si="3"/>
        <v/>
      </c>
      <c r="T351" s="2" t="str">
        <f t="shared" si="4"/>
        <v/>
      </c>
      <c r="U351" s="2">
        <f t="shared" si="5"/>
        <v>99</v>
      </c>
      <c r="V351" s="2" t="str">
        <f t="shared" si="6"/>
        <v>null</v>
      </c>
      <c r="W351" s="2" t="str">
        <f t="shared" si="7"/>
        <v>null</v>
      </c>
      <c r="X351" s="2" t="str">
        <f t="shared" si="8"/>
        <v/>
      </c>
      <c r="Y351" s="2" t="str">
        <f t="shared" si="9"/>
        <v/>
      </c>
      <c r="Z351" s="2" t="str">
        <f t="shared" si="10"/>
        <v/>
      </c>
      <c r="AA351" s="2">
        <f t="shared" si="11"/>
        <v>0</v>
      </c>
      <c r="AB351" s="2">
        <f t="shared" si="12"/>
        <v>0</v>
      </c>
      <c r="AC351" s="2" t="str">
        <f>VLOOKUP(A351,Regions!$A$2:$B$233,2)</f>
        <v>Latin America &amp; Caribbean</v>
      </c>
    </row>
    <row r="352">
      <c r="A352" s="1" t="s">
        <v>205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2">
        <f t="shared" si="1"/>
        <v>5</v>
      </c>
      <c r="R352" s="2">
        <f t="shared" si="2"/>
        <v>0.263950058</v>
      </c>
      <c r="S352" s="2">
        <f t="shared" si="3"/>
        <v>0.300352518</v>
      </c>
      <c r="T352" s="2">
        <f t="shared" si="4"/>
        <v>0.102357802</v>
      </c>
      <c r="U352" s="2">
        <f t="shared" si="5"/>
        <v>96</v>
      </c>
      <c r="V352" s="2">
        <f t="shared" si="6"/>
        <v>95</v>
      </c>
      <c r="W352" s="2">
        <f t="shared" si="7"/>
        <v>97</v>
      </c>
      <c r="X352" s="2" t="str">
        <f t="shared" si="8"/>
        <v/>
      </c>
      <c r="Y352" s="2" t="str">
        <f t="shared" si="9"/>
        <v/>
      </c>
      <c r="Z352" s="2" t="str">
        <f t="shared" si="10"/>
        <v/>
      </c>
      <c r="AA352" s="2">
        <f t="shared" si="11"/>
        <v>0.197994716</v>
      </c>
      <c r="AB352" s="2">
        <f t="shared" si="12"/>
        <v>0.197994716</v>
      </c>
      <c r="AC352" s="2" t="str">
        <f>VLOOKUP(A352,Regions!$A$2:$B$233,2)</f>
        <v>Latin America &amp; Caribbean</v>
      </c>
    </row>
    <row r="353">
      <c r="A353" s="1" t="s">
        <v>205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Q353" s="2" t="str">
        <f t="shared" si="1"/>
        <v/>
      </c>
      <c r="R353" s="2" t="str">
        <f t="shared" si="2"/>
        <v/>
      </c>
      <c r="S353" s="2" t="str">
        <f t="shared" si="3"/>
        <v/>
      </c>
      <c r="T353" s="2" t="str">
        <f t="shared" si="4"/>
        <v/>
      </c>
      <c r="U353" s="2">
        <f t="shared" si="5"/>
        <v>97</v>
      </c>
      <c r="V353" s="2">
        <f t="shared" si="6"/>
        <v>97</v>
      </c>
      <c r="W353" s="2">
        <f t="shared" si="7"/>
        <v>97</v>
      </c>
      <c r="X353" s="2" t="str">
        <f t="shared" si="8"/>
        <v/>
      </c>
      <c r="Y353" s="2" t="str">
        <f t="shared" si="9"/>
        <v/>
      </c>
      <c r="Z353" s="2" t="str">
        <f t="shared" si="10"/>
        <v/>
      </c>
      <c r="AA353" s="2">
        <f t="shared" si="11"/>
        <v>0</v>
      </c>
      <c r="AB353" s="2">
        <f t="shared" si="12"/>
        <v>0</v>
      </c>
      <c r="AC353" s="2" t="str">
        <f>VLOOKUP(A353,Regions!$A$2:$B$233,2)</f>
        <v>Latin America &amp; Caribbean</v>
      </c>
    </row>
    <row r="354">
      <c r="A354" s="1" t="s">
        <v>206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33</v>
      </c>
      <c r="J354" s="1" t="s">
        <v>33</v>
      </c>
      <c r="K354" s="1" t="s">
        <v>33</v>
      </c>
      <c r="L354" s="1" t="s">
        <v>33</v>
      </c>
      <c r="M354" s="1">
        <v>99.9997742</v>
      </c>
      <c r="N354" s="1">
        <v>0.0</v>
      </c>
      <c r="O354" s="1">
        <v>2.258038882E-4</v>
      </c>
      <c r="P354" s="1">
        <v>0.0</v>
      </c>
      <c r="Q354" s="2">
        <f t="shared" si="1"/>
        <v>5</v>
      </c>
      <c r="R354" s="2">
        <f t="shared" si="2"/>
        <v>-0.000100562</v>
      </c>
      <c r="S354" s="2" t="str">
        <f t="shared" si="3"/>
        <v>null</v>
      </c>
      <c r="T354" s="2">
        <f t="shared" si="4"/>
        <v>-0.000100562</v>
      </c>
      <c r="U354" s="2">
        <f t="shared" si="5"/>
        <v>100</v>
      </c>
      <c r="V354" s="2" t="str">
        <f t="shared" si="6"/>
        <v>null</v>
      </c>
      <c r="W354" s="2">
        <f t="shared" si="7"/>
        <v>100</v>
      </c>
      <c r="X354" s="2" t="str">
        <f t="shared" si="8"/>
        <v>full access</v>
      </c>
      <c r="Y354" s="2" t="str">
        <f t="shared" si="9"/>
        <v/>
      </c>
      <c r="Z354" s="2" t="str">
        <f t="shared" si="10"/>
        <v>full access</v>
      </c>
      <c r="AA354" s="2" t="str">
        <f t="shared" si="11"/>
        <v>null</v>
      </c>
      <c r="AB354" s="2" t="str">
        <f t="shared" si="12"/>
        <v>null</v>
      </c>
      <c r="AC354" s="2" t="str">
        <f>VLOOKUP(A354,Regions!$A$2:$B$233,2)</f>
        <v>Latin America &amp; Caribbean</v>
      </c>
    </row>
    <row r="355">
      <c r="A355" s="1" t="s">
        <v>206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33</v>
      </c>
      <c r="J355" s="1" t="s">
        <v>33</v>
      </c>
      <c r="K355" s="1" t="s">
        <v>33</v>
      </c>
      <c r="L355" s="1" t="s">
        <v>33</v>
      </c>
      <c r="M355" s="1">
        <v>99.99927139</v>
      </c>
      <c r="N355" s="1">
        <v>0.0</v>
      </c>
      <c r="O355" s="1">
        <v>7.286105507E-4</v>
      </c>
      <c r="P355" s="1">
        <v>0.0</v>
      </c>
      <c r="Q355" s="2" t="str">
        <f t="shared" si="1"/>
        <v/>
      </c>
      <c r="R355" s="2" t="str">
        <f t="shared" si="2"/>
        <v/>
      </c>
      <c r="S355" s="2" t="str">
        <f t="shared" si="3"/>
        <v/>
      </c>
      <c r="T355" s="2" t="str">
        <f t="shared" si="4"/>
        <v/>
      </c>
      <c r="U355" s="2">
        <f t="shared" si="5"/>
        <v>100</v>
      </c>
      <c r="V355" s="2" t="str">
        <f t="shared" si="6"/>
        <v>null</v>
      </c>
      <c r="W355" s="2">
        <f t="shared" si="7"/>
        <v>100</v>
      </c>
      <c r="X355" s="2" t="str">
        <f t="shared" si="8"/>
        <v/>
      </c>
      <c r="Y355" s="2" t="str">
        <f t="shared" si="9"/>
        <v/>
      </c>
      <c r="Z355" s="2" t="str">
        <f t="shared" si="10"/>
        <v/>
      </c>
      <c r="AA355" s="2">
        <f t="shared" si="11"/>
        <v>0</v>
      </c>
      <c r="AB355" s="2">
        <f t="shared" si="12"/>
        <v>0</v>
      </c>
      <c r="AC355" s="2" t="str">
        <f>VLOOKUP(A355,Regions!$A$2:$B$233,2)</f>
        <v>Latin America &amp; Caribbean</v>
      </c>
    </row>
    <row r="356">
      <c r="A356" s="1" t="s">
        <v>207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33</v>
      </c>
      <c r="J356" s="1" t="s">
        <v>33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33</v>
      </c>
      <c r="P356" s="1" t="s">
        <v>33</v>
      </c>
      <c r="Q356" s="2">
        <f t="shared" si="1"/>
        <v>5</v>
      </c>
      <c r="R356" s="2">
        <f t="shared" si="2"/>
        <v>0</v>
      </c>
      <c r="S356" s="2" t="str">
        <f t="shared" si="3"/>
        <v>null</v>
      </c>
      <c r="T356" s="2" t="str">
        <f t="shared" si="4"/>
        <v>null</v>
      </c>
      <c r="U356" s="2">
        <f t="shared" si="5"/>
        <v>91</v>
      </c>
      <c r="V356" s="2" t="str">
        <f t="shared" si="6"/>
        <v>null</v>
      </c>
      <c r="W356" s="2" t="str">
        <f t="shared" si="7"/>
        <v>null</v>
      </c>
      <c r="X356" s="2" t="str">
        <f t="shared" si="8"/>
        <v/>
      </c>
      <c r="Y356" s="2" t="str">
        <f t="shared" si="9"/>
        <v/>
      </c>
      <c r="Z356" s="2" t="str">
        <f t="shared" si="10"/>
        <v/>
      </c>
      <c r="AA356" s="2" t="str">
        <f t="shared" si="11"/>
        <v>null</v>
      </c>
      <c r="AB356" s="2" t="str">
        <f t="shared" si="12"/>
        <v>null</v>
      </c>
      <c r="AC356" s="2" t="str">
        <f>VLOOKUP(A356,Regions!$A$2:$B$233,2)</f>
        <v>North America</v>
      </c>
    </row>
    <row r="357">
      <c r="A357" s="1" t="s">
        <v>207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33</v>
      </c>
      <c r="J357" s="1" t="s">
        <v>33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33</v>
      </c>
      <c r="Q357" s="2" t="str">
        <f t="shared" si="1"/>
        <v/>
      </c>
      <c r="R357" s="2" t="str">
        <f t="shared" si="2"/>
        <v/>
      </c>
      <c r="S357" s="2" t="str">
        <f t="shared" si="3"/>
        <v/>
      </c>
      <c r="T357" s="2" t="str">
        <f t="shared" si="4"/>
        <v/>
      </c>
      <c r="U357" s="2">
        <f t="shared" si="5"/>
        <v>91</v>
      </c>
      <c r="V357" s="2" t="str">
        <f t="shared" si="6"/>
        <v>null</v>
      </c>
      <c r="W357" s="2" t="str">
        <f t="shared" si="7"/>
        <v>null</v>
      </c>
      <c r="X357" s="2" t="str">
        <f t="shared" si="8"/>
        <v/>
      </c>
      <c r="Y357" s="2" t="str">
        <f t="shared" si="9"/>
        <v/>
      </c>
      <c r="Z357" s="2" t="str">
        <f t="shared" si="10"/>
        <v/>
      </c>
      <c r="AA357" s="2">
        <f t="shared" si="11"/>
        <v>0</v>
      </c>
      <c r="AB357" s="2">
        <f t="shared" si="12"/>
        <v>0</v>
      </c>
      <c r="AC357" s="2" t="str">
        <f>VLOOKUP(A357,Regions!$A$2:$B$233,2)</f>
        <v>North America</v>
      </c>
    </row>
    <row r="358">
      <c r="A358" s="1" t="s">
        <v>208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33</v>
      </c>
      <c r="J358" s="1" t="s">
        <v>33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33</v>
      </c>
      <c r="Q358" s="2">
        <f t="shared" si="1"/>
        <v>3</v>
      </c>
      <c r="R358" s="2">
        <f t="shared" si="2"/>
        <v>0</v>
      </c>
      <c r="S358" s="2" t="str">
        <f t="shared" si="3"/>
        <v>null</v>
      </c>
      <c r="T358" s="2" t="str">
        <f t="shared" si="4"/>
        <v>null</v>
      </c>
      <c r="U358" s="2">
        <f t="shared" si="5"/>
        <v>95</v>
      </c>
      <c r="V358" s="2" t="str">
        <f t="shared" si="6"/>
        <v>null</v>
      </c>
      <c r="W358" s="2" t="str">
        <f t="shared" si="7"/>
        <v>null</v>
      </c>
      <c r="X358" s="2" t="str">
        <f t="shared" si="8"/>
        <v/>
      </c>
      <c r="Y358" s="2" t="str">
        <f t="shared" si="9"/>
        <v/>
      </c>
      <c r="Z358" s="2" t="str">
        <f t="shared" si="10"/>
        <v/>
      </c>
      <c r="AA358" s="2" t="str">
        <f t="shared" si="11"/>
        <v>null</v>
      </c>
      <c r="AB358" s="2" t="str">
        <f t="shared" si="12"/>
        <v>null</v>
      </c>
      <c r="AC358" s="2" t="str">
        <f>VLOOKUP(A358,Regions!$A$2:$B$233,2)</f>
        <v>Latin America &amp; Caribbean</v>
      </c>
    </row>
    <row r="359">
      <c r="A359" s="1" t="s">
        <v>208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33</v>
      </c>
      <c r="I359" s="1" t="s">
        <v>33</v>
      </c>
      <c r="J359" s="1" t="s">
        <v>33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33</v>
      </c>
      <c r="P359" s="1" t="s">
        <v>33</v>
      </c>
      <c r="Q359" s="2" t="str">
        <f t="shared" si="1"/>
        <v/>
      </c>
      <c r="R359" s="2" t="str">
        <f t="shared" si="2"/>
        <v/>
      </c>
      <c r="S359" s="2" t="str">
        <f t="shared" si="3"/>
        <v/>
      </c>
      <c r="T359" s="2" t="str">
        <f t="shared" si="4"/>
        <v/>
      </c>
      <c r="U359" s="2">
        <f t="shared" si="5"/>
        <v>95</v>
      </c>
      <c r="V359" s="2" t="str">
        <f t="shared" si="6"/>
        <v>null</v>
      </c>
      <c r="W359" s="2" t="str">
        <f t="shared" si="7"/>
        <v>null</v>
      </c>
      <c r="X359" s="2" t="str">
        <f t="shared" si="8"/>
        <v/>
      </c>
      <c r="Y359" s="2" t="str">
        <f t="shared" si="9"/>
        <v/>
      </c>
      <c r="Z359" s="2" t="str">
        <f t="shared" si="10"/>
        <v/>
      </c>
      <c r="AA359" s="2">
        <f t="shared" si="11"/>
        <v>0</v>
      </c>
      <c r="AB359" s="2">
        <f t="shared" si="12"/>
        <v>0</v>
      </c>
      <c r="AC359" s="2" t="str">
        <f>VLOOKUP(A359,Regions!$A$2:$B$233,2)</f>
        <v>Latin America &amp; Caribbean</v>
      </c>
    </row>
    <row r="360">
      <c r="A360" s="1" t="s">
        <v>209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2">
        <f t="shared" si="1"/>
        <v>5</v>
      </c>
      <c r="R360" s="2">
        <f t="shared" si="2"/>
        <v>0.103265438</v>
      </c>
      <c r="S360" s="2">
        <f t="shared" si="3"/>
        <v>0.078781444</v>
      </c>
      <c r="T360" s="2">
        <f t="shared" si="4"/>
        <v>0.211708264</v>
      </c>
      <c r="U360" s="2">
        <f t="shared" si="5"/>
        <v>91</v>
      </c>
      <c r="V360" s="2">
        <f t="shared" si="6"/>
        <v>91</v>
      </c>
      <c r="W360" s="2">
        <f t="shared" si="7"/>
        <v>91</v>
      </c>
      <c r="X360" s="2" t="str">
        <f t="shared" si="8"/>
        <v/>
      </c>
      <c r="Y360" s="2" t="str">
        <f t="shared" si="9"/>
        <v/>
      </c>
      <c r="Z360" s="2" t="str">
        <f t="shared" si="10"/>
        <v/>
      </c>
      <c r="AA360" s="2">
        <f t="shared" si="11"/>
        <v>-0.13292682</v>
      </c>
      <c r="AB360" s="2">
        <f t="shared" si="12"/>
        <v>0.13292682</v>
      </c>
      <c r="AC360" s="2" t="str">
        <f>VLOOKUP(A360,Regions!$A$2:$B$233,2)</f>
        <v>East Asia &amp; Pacific</v>
      </c>
    </row>
    <row r="361">
      <c r="A361" s="1" t="s">
        <v>209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Q361" s="2" t="str">
        <f t="shared" si="1"/>
        <v/>
      </c>
      <c r="R361" s="2" t="str">
        <f t="shared" si="2"/>
        <v/>
      </c>
      <c r="S361" s="2" t="str">
        <f t="shared" si="3"/>
        <v/>
      </c>
      <c r="T361" s="2" t="str">
        <f t="shared" si="4"/>
        <v/>
      </c>
      <c r="U361" s="2">
        <f t="shared" si="5"/>
        <v>92</v>
      </c>
      <c r="V361" s="2">
        <f t="shared" si="6"/>
        <v>92</v>
      </c>
      <c r="W361" s="2">
        <f t="shared" si="7"/>
        <v>92</v>
      </c>
      <c r="X361" s="2" t="str">
        <f t="shared" si="8"/>
        <v/>
      </c>
      <c r="Y361" s="2" t="str">
        <f t="shared" si="9"/>
        <v/>
      </c>
      <c r="Z361" s="2" t="str">
        <f t="shared" si="10"/>
        <v/>
      </c>
      <c r="AA361" s="2">
        <f t="shared" si="11"/>
        <v>0</v>
      </c>
      <c r="AB361" s="2">
        <f t="shared" si="12"/>
        <v>0</v>
      </c>
      <c r="AC361" s="2" t="str">
        <f>VLOOKUP(A361,Regions!$A$2:$B$233,2)</f>
        <v>East Asia &amp; Pacific</v>
      </c>
    </row>
    <row r="362">
      <c r="A362" s="1" t="s">
        <v>210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33</v>
      </c>
      <c r="J362" s="1" t="s">
        <v>33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33</v>
      </c>
      <c r="Q362" s="2">
        <f t="shared" si="1"/>
        <v>5</v>
      </c>
      <c r="R362" s="2">
        <f t="shared" si="2"/>
        <v>0</v>
      </c>
      <c r="S362" s="2" t="str">
        <f t="shared" si="3"/>
        <v>null</v>
      </c>
      <c r="T362" s="2" t="str">
        <f t="shared" si="4"/>
        <v>null</v>
      </c>
      <c r="U362" s="2">
        <f t="shared" si="5"/>
        <v>100</v>
      </c>
      <c r="V362" s="2" t="str">
        <f t="shared" si="6"/>
        <v>null</v>
      </c>
      <c r="W362" s="2" t="str">
        <f t="shared" si="7"/>
        <v>null</v>
      </c>
      <c r="X362" s="2" t="str">
        <f t="shared" si="8"/>
        <v>full access</v>
      </c>
      <c r="Y362" s="2" t="str">
        <f t="shared" si="9"/>
        <v/>
      </c>
      <c r="Z362" s="2" t="str">
        <f t="shared" si="10"/>
        <v/>
      </c>
      <c r="AA362" s="2" t="str">
        <f t="shared" si="11"/>
        <v>null</v>
      </c>
      <c r="AB362" s="2" t="str">
        <f t="shared" si="12"/>
        <v>null</v>
      </c>
      <c r="AC362" s="2" t="str">
        <f>VLOOKUP(A362,Regions!$A$2:$B$233,2)</f>
        <v>Europe &amp; Central Asia</v>
      </c>
    </row>
    <row r="363">
      <c r="A363" s="1" t="s">
        <v>210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33</v>
      </c>
      <c r="J363" s="1" t="s">
        <v>33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33</v>
      </c>
      <c r="Q363" s="2" t="str">
        <f t="shared" si="1"/>
        <v/>
      </c>
      <c r="R363" s="2" t="str">
        <f t="shared" si="2"/>
        <v/>
      </c>
      <c r="S363" s="2" t="str">
        <f t="shared" si="3"/>
        <v/>
      </c>
      <c r="T363" s="2" t="str">
        <f t="shared" si="4"/>
        <v/>
      </c>
      <c r="U363" s="2">
        <f t="shared" si="5"/>
        <v>100</v>
      </c>
      <c r="V363" s="2" t="str">
        <f t="shared" si="6"/>
        <v>null</v>
      </c>
      <c r="W363" s="2" t="str">
        <f t="shared" si="7"/>
        <v>null</v>
      </c>
      <c r="X363" s="2" t="str">
        <f t="shared" si="8"/>
        <v/>
      </c>
      <c r="Y363" s="2" t="str">
        <f t="shared" si="9"/>
        <v/>
      </c>
      <c r="Z363" s="2" t="str">
        <f t="shared" si="10"/>
        <v/>
      </c>
      <c r="AA363" s="2">
        <f t="shared" si="11"/>
        <v>0</v>
      </c>
      <c r="AB363" s="2">
        <f t="shared" si="12"/>
        <v>0</v>
      </c>
      <c r="AC363" s="2" t="str">
        <f>VLOOKUP(A363,Regions!$A$2:$B$233,2)</f>
        <v>Europe &amp; Central Asia</v>
      </c>
    </row>
    <row r="364">
      <c r="A364" s="1" t="s">
        <v>211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2">
        <f t="shared" si="1"/>
        <v>5</v>
      </c>
      <c r="R364" s="2">
        <f t="shared" si="2"/>
        <v>0.220445074</v>
      </c>
      <c r="S364" s="2">
        <f t="shared" si="3"/>
        <v>0.60357957</v>
      </c>
      <c r="T364" s="2">
        <f t="shared" si="4"/>
        <v>-0.00529962</v>
      </c>
      <c r="U364" s="2">
        <f t="shared" si="5"/>
        <v>77</v>
      </c>
      <c r="V364" s="2">
        <f t="shared" si="6"/>
        <v>71</v>
      </c>
      <c r="W364" s="2">
        <f t="shared" si="7"/>
        <v>80</v>
      </c>
      <c r="X364" s="2" t="str">
        <f t="shared" si="8"/>
        <v/>
      </c>
      <c r="Y364" s="2" t="str">
        <f t="shared" si="9"/>
        <v/>
      </c>
      <c r="Z364" s="2" t="str">
        <f t="shared" si="10"/>
        <v/>
      </c>
      <c r="AA364" s="2">
        <f t="shared" si="11"/>
        <v>0.60887919</v>
      </c>
      <c r="AB364" s="2">
        <f t="shared" si="12"/>
        <v>0.60887919</v>
      </c>
      <c r="AC364" s="2" t="str">
        <f>VLOOKUP(A364,Regions!$A$2:$B$233,2)</f>
        <v>Sub-Saharan Africa</v>
      </c>
    </row>
    <row r="365">
      <c r="A365" s="1" t="s">
        <v>211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Q365" s="2" t="str">
        <f t="shared" si="1"/>
        <v/>
      </c>
      <c r="R365" s="2" t="str">
        <f t="shared" si="2"/>
        <v/>
      </c>
      <c r="S365" s="2" t="str">
        <f t="shared" si="3"/>
        <v/>
      </c>
      <c r="T365" s="2" t="str">
        <f t="shared" si="4"/>
        <v/>
      </c>
      <c r="U365" s="2">
        <f t="shared" si="5"/>
        <v>78</v>
      </c>
      <c r="V365" s="2">
        <f t="shared" si="6"/>
        <v>74</v>
      </c>
      <c r="W365" s="2">
        <f t="shared" si="7"/>
        <v>80</v>
      </c>
      <c r="X365" s="2" t="str">
        <f t="shared" si="8"/>
        <v/>
      </c>
      <c r="Y365" s="2" t="str">
        <f t="shared" si="9"/>
        <v/>
      </c>
      <c r="Z365" s="2" t="str">
        <f t="shared" si="10"/>
        <v/>
      </c>
      <c r="AA365" s="2">
        <f t="shared" si="11"/>
        <v>0</v>
      </c>
      <c r="AB365" s="2">
        <f t="shared" si="12"/>
        <v>0</v>
      </c>
      <c r="AC365" s="2" t="str">
        <f>VLOOKUP(A365,Regions!$A$2:$B$233,2)</f>
        <v>Sub-Saharan Africa</v>
      </c>
    </row>
    <row r="366">
      <c r="A366" s="1" t="s">
        <v>212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33</v>
      </c>
      <c r="J366" s="1" t="s">
        <v>33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33</v>
      </c>
      <c r="P366" s="1" t="s">
        <v>33</v>
      </c>
      <c r="Q366" s="2">
        <f t="shared" si="1"/>
        <v>5</v>
      </c>
      <c r="R366" s="2">
        <f t="shared" si="2"/>
        <v>0.090394724</v>
      </c>
      <c r="S366" s="2" t="str">
        <f t="shared" si="3"/>
        <v>null</v>
      </c>
      <c r="T366" s="2" t="str">
        <f t="shared" si="4"/>
        <v>null</v>
      </c>
      <c r="U366" s="2">
        <f t="shared" si="5"/>
        <v>100</v>
      </c>
      <c r="V366" s="2" t="str">
        <f t="shared" si="6"/>
        <v>null</v>
      </c>
      <c r="W366" s="2" t="str">
        <f t="shared" si="7"/>
        <v>null</v>
      </c>
      <c r="X366" s="2" t="str">
        <f t="shared" si="8"/>
        <v>full access</v>
      </c>
      <c r="Y366" s="2" t="str">
        <f t="shared" si="9"/>
        <v/>
      </c>
      <c r="Z366" s="2" t="str">
        <f t="shared" si="10"/>
        <v/>
      </c>
      <c r="AA366" s="2" t="str">
        <f t="shared" si="11"/>
        <v>null</v>
      </c>
      <c r="AB366" s="2" t="str">
        <f t="shared" si="12"/>
        <v>null</v>
      </c>
      <c r="AC366" s="2" t="str">
        <f>VLOOKUP(A366,Regions!$A$2:$B$233,2)</f>
        <v>Europe &amp; Central Asia</v>
      </c>
    </row>
    <row r="367">
      <c r="A367" s="1" t="s">
        <v>212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33</v>
      </c>
      <c r="J367" s="1" t="s">
        <v>33</v>
      </c>
      <c r="K367" s="1" t="s">
        <v>33</v>
      </c>
      <c r="L367" s="1" t="s">
        <v>33</v>
      </c>
      <c r="M367" s="1" t="s">
        <v>33</v>
      </c>
      <c r="N367" s="1" t="s">
        <v>33</v>
      </c>
      <c r="O367" s="1" t="s">
        <v>33</v>
      </c>
      <c r="P367" s="1" t="s">
        <v>33</v>
      </c>
      <c r="Q367" s="2" t="str">
        <f t="shared" si="1"/>
        <v/>
      </c>
      <c r="R367" s="2" t="str">
        <f t="shared" si="2"/>
        <v/>
      </c>
      <c r="S367" s="2" t="str">
        <f t="shared" si="3"/>
        <v/>
      </c>
      <c r="T367" s="2" t="str">
        <f t="shared" si="4"/>
        <v/>
      </c>
      <c r="U367" s="2">
        <f t="shared" si="5"/>
        <v>100</v>
      </c>
      <c r="V367" s="2" t="str">
        <f t="shared" si="6"/>
        <v>null</v>
      </c>
      <c r="W367" s="2" t="str">
        <f t="shared" si="7"/>
        <v>null</v>
      </c>
      <c r="X367" s="2" t="str">
        <f t="shared" si="8"/>
        <v/>
      </c>
      <c r="Y367" s="2" t="str">
        <f t="shared" si="9"/>
        <v/>
      </c>
      <c r="Z367" s="2" t="str">
        <f t="shared" si="10"/>
        <v/>
      </c>
      <c r="AA367" s="2">
        <f t="shared" si="11"/>
        <v>0</v>
      </c>
      <c r="AB367" s="2">
        <f t="shared" si="12"/>
        <v>0</v>
      </c>
      <c r="AC367" s="2" t="str">
        <f>VLOOKUP(A367,Regions!$A$2:$B$233,2)</f>
        <v>Europe &amp; Central Asia</v>
      </c>
    </row>
    <row r="368">
      <c r="A368" s="1" t="s">
        <v>213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2">
        <f t="shared" si="1"/>
        <v>5</v>
      </c>
      <c r="R368" s="2">
        <f t="shared" si="2"/>
        <v>1.260628834</v>
      </c>
      <c r="S368" s="2">
        <f t="shared" si="3"/>
        <v>1.860345328</v>
      </c>
      <c r="T368" s="2">
        <f t="shared" si="4"/>
        <v>0.354800636</v>
      </c>
      <c r="U368" s="2">
        <f t="shared" si="5"/>
        <v>79</v>
      </c>
      <c r="V368" s="2">
        <f t="shared" si="6"/>
        <v>66</v>
      </c>
      <c r="W368" s="2">
        <f t="shared" si="7"/>
        <v>94</v>
      </c>
      <c r="X368" s="2" t="str">
        <f t="shared" si="8"/>
        <v/>
      </c>
      <c r="Y368" s="2" t="str">
        <f t="shared" si="9"/>
        <v/>
      </c>
      <c r="Z368" s="2" t="str">
        <f t="shared" si="10"/>
        <v/>
      </c>
      <c r="AA368" s="2">
        <f t="shared" si="11"/>
        <v>1.505544692</v>
      </c>
      <c r="AB368" s="2">
        <f t="shared" si="12"/>
        <v>1.505544692</v>
      </c>
      <c r="AC368" s="2" t="str">
        <f>VLOOKUP(A368,Regions!$A$2:$B$233,2)</f>
        <v>Sub-Saharan Africa</v>
      </c>
    </row>
    <row r="369">
      <c r="A369" s="1" t="s">
        <v>213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Q369" s="2" t="str">
        <f t="shared" si="1"/>
        <v/>
      </c>
      <c r="R369" s="2" t="str">
        <f t="shared" si="2"/>
        <v/>
      </c>
      <c r="S369" s="2" t="str">
        <f t="shared" si="3"/>
        <v/>
      </c>
      <c r="T369" s="2" t="str">
        <f t="shared" si="4"/>
        <v/>
      </c>
      <c r="U369" s="2">
        <f t="shared" si="5"/>
        <v>85</v>
      </c>
      <c r="V369" s="2">
        <f t="shared" si="6"/>
        <v>75</v>
      </c>
      <c r="W369" s="2">
        <f t="shared" si="7"/>
        <v>95</v>
      </c>
      <c r="X369" s="2" t="str">
        <f t="shared" si="8"/>
        <v/>
      </c>
      <c r="Y369" s="2" t="str">
        <f t="shared" si="9"/>
        <v/>
      </c>
      <c r="Z369" s="2" t="str">
        <f t="shared" si="10"/>
        <v/>
      </c>
      <c r="AA369" s="2">
        <f t="shared" si="11"/>
        <v>0</v>
      </c>
      <c r="AB369" s="2">
        <f t="shared" si="12"/>
        <v>0</v>
      </c>
      <c r="AC369" s="2" t="str">
        <f>VLOOKUP(A369,Regions!$A$2:$B$233,2)</f>
        <v>Sub-Saharan Africa</v>
      </c>
    </row>
    <row r="370">
      <c r="A370" s="1" t="s">
        <v>214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2">
        <f t="shared" si="1"/>
        <v>5</v>
      </c>
      <c r="R370" s="2">
        <f t="shared" si="2"/>
        <v>0.381814404</v>
      </c>
      <c r="S370" s="2">
        <f t="shared" si="3"/>
        <v>0.22428914</v>
      </c>
      <c r="T370" s="2">
        <f t="shared" si="4"/>
        <v>0.50974024</v>
      </c>
      <c r="U370" s="2">
        <f t="shared" si="5"/>
        <v>93</v>
      </c>
      <c r="V370" s="2">
        <f t="shared" si="6"/>
        <v>95</v>
      </c>
      <c r="W370" s="2">
        <f t="shared" si="7"/>
        <v>92</v>
      </c>
      <c r="X370" s="2" t="str">
        <f t="shared" si="8"/>
        <v/>
      </c>
      <c r="Y370" s="2" t="str">
        <f t="shared" si="9"/>
        <v/>
      </c>
      <c r="Z370" s="2" t="str">
        <f t="shared" si="10"/>
        <v/>
      </c>
      <c r="AA370" s="2">
        <f t="shared" si="11"/>
        <v>-0.2854511</v>
      </c>
      <c r="AB370" s="2">
        <f t="shared" si="12"/>
        <v>0.2854511</v>
      </c>
      <c r="AC370" s="2" t="str">
        <f>VLOOKUP(A370,Regions!$A$2:$B$233,2)</f>
        <v>Europe &amp; Central Asia</v>
      </c>
    </row>
    <row r="371">
      <c r="A371" s="1" t="s">
        <v>214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Q371" s="2" t="str">
        <f t="shared" si="1"/>
        <v/>
      </c>
      <c r="R371" s="2" t="str">
        <f t="shared" si="2"/>
        <v/>
      </c>
      <c r="S371" s="2" t="str">
        <f t="shared" si="3"/>
        <v/>
      </c>
      <c r="T371" s="2" t="str">
        <f t="shared" si="4"/>
        <v/>
      </c>
      <c r="U371" s="2">
        <f t="shared" si="5"/>
        <v>95</v>
      </c>
      <c r="V371" s="2">
        <f t="shared" si="6"/>
        <v>96</v>
      </c>
      <c r="W371" s="2">
        <f t="shared" si="7"/>
        <v>95</v>
      </c>
      <c r="X371" s="2" t="str">
        <f t="shared" si="8"/>
        <v/>
      </c>
      <c r="Y371" s="2" t="str">
        <f t="shared" si="9"/>
        <v/>
      </c>
      <c r="Z371" s="2" t="str">
        <f t="shared" si="10"/>
        <v/>
      </c>
      <c r="AA371" s="2">
        <f t="shared" si="11"/>
        <v>0</v>
      </c>
      <c r="AB371" s="2">
        <f t="shared" si="12"/>
        <v>0</v>
      </c>
      <c r="AC371" s="2" t="str">
        <f>VLOOKUP(A371,Regions!$A$2:$B$233,2)</f>
        <v>Europe &amp; Central Asia</v>
      </c>
    </row>
    <row r="372">
      <c r="A372" s="1" t="s">
        <v>215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33</v>
      </c>
      <c r="J372" s="1" t="s">
        <v>33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33</v>
      </c>
      <c r="P372" s="1" t="s">
        <v>33</v>
      </c>
      <c r="Q372" s="2">
        <f t="shared" si="1"/>
        <v>4</v>
      </c>
      <c r="R372" s="2">
        <f t="shared" si="2"/>
        <v>0.1502138475</v>
      </c>
      <c r="S372" s="2" t="str">
        <f t="shared" si="3"/>
        <v>null</v>
      </c>
      <c r="T372" s="2" t="str">
        <f t="shared" si="4"/>
        <v>null</v>
      </c>
      <c r="U372" s="2">
        <f t="shared" si="5"/>
        <v>96</v>
      </c>
      <c r="V372" s="2" t="str">
        <f t="shared" si="6"/>
        <v>null</v>
      </c>
      <c r="W372" s="2" t="str">
        <f t="shared" si="7"/>
        <v>null</v>
      </c>
      <c r="X372" s="2" t="str">
        <f t="shared" si="8"/>
        <v/>
      </c>
      <c r="Y372" s="2" t="str">
        <f t="shared" si="9"/>
        <v/>
      </c>
      <c r="Z372" s="2" t="str">
        <f t="shared" si="10"/>
        <v/>
      </c>
      <c r="AA372" s="2" t="str">
        <f t="shared" si="11"/>
        <v>null</v>
      </c>
      <c r="AB372" s="2" t="str">
        <f t="shared" si="12"/>
        <v>null</v>
      </c>
      <c r="AC372" s="2" t="str">
        <f>VLOOKUP(A372,Regions!$A$2:$B$233,2)</f>
        <v>East Asia &amp; Pacific</v>
      </c>
    </row>
    <row r="373">
      <c r="A373" s="1" t="s">
        <v>215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33</v>
      </c>
      <c r="I373" s="1" t="s">
        <v>33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 s="1" t="s">
        <v>33</v>
      </c>
      <c r="Q373" s="2" t="str">
        <f t="shared" si="1"/>
        <v/>
      </c>
      <c r="R373" s="2" t="str">
        <f t="shared" si="2"/>
        <v/>
      </c>
      <c r="S373" s="2" t="str">
        <f t="shared" si="3"/>
        <v/>
      </c>
      <c r="T373" s="2" t="str">
        <f t="shared" si="4"/>
        <v/>
      </c>
      <c r="U373" s="2">
        <f t="shared" si="5"/>
        <v>97</v>
      </c>
      <c r="V373" s="2" t="str">
        <f t="shared" si="6"/>
        <v>null</v>
      </c>
      <c r="W373" s="2" t="str">
        <f t="shared" si="7"/>
        <v>null</v>
      </c>
      <c r="X373" s="2" t="str">
        <f t="shared" si="8"/>
        <v/>
      </c>
      <c r="Y373" s="2" t="str">
        <f t="shared" si="9"/>
        <v/>
      </c>
      <c r="Z373" s="2" t="str">
        <f t="shared" si="10"/>
        <v/>
      </c>
      <c r="AA373" s="2">
        <f t="shared" si="11"/>
        <v>0</v>
      </c>
      <c r="AB373" s="2">
        <f t="shared" si="12"/>
        <v>0</v>
      </c>
      <c r="AC373" s="2" t="str">
        <f>VLOOKUP(A373,Regions!$A$2:$B$233,2)</f>
        <v>East Asia &amp; Pacific</v>
      </c>
    </row>
    <row r="374">
      <c r="A374" s="1" t="s">
        <v>216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2">
        <f t="shared" si="1"/>
        <v>5</v>
      </c>
      <c r="R374" s="2">
        <f t="shared" si="2"/>
        <v>1.183764092</v>
      </c>
      <c r="S374" s="2">
        <f t="shared" si="3"/>
        <v>1.444597766</v>
      </c>
      <c r="T374" s="2">
        <f t="shared" si="4"/>
        <v>0.542560016</v>
      </c>
      <c r="U374" s="2">
        <f t="shared" si="5"/>
        <v>58</v>
      </c>
      <c r="V374" s="2">
        <f t="shared" si="6"/>
        <v>46</v>
      </c>
      <c r="W374" s="2">
        <f t="shared" si="7"/>
        <v>76</v>
      </c>
      <c r="X374" s="2" t="str">
        <f t="shared" si="8"/>
        <v/>
      </c>
      <c r="Y374" s="2" t="str">
        <f t="shared" si="9"/>
        <v/>
      </c>
      <c r="Z374" s="2" t="str">
        <f t="shared" si="10"/>
        <v/>
      </c>
      <c r="AA374" s="2">
        <f t="shared" si="11"/>
        <v>0.90203775</v>
      </c>
      <c r="AB374" s="2">
        <f t="shared" si="12"/>
        <v>0.90203775</v>
      </c>
      <c r="AC374" s="2" t="str">
        <f>VLOOKUP(A374,Regions!$A$2:$B$233,2)</f>
        <v>Sub-Saharan Africa</v>
      </c>
    </row>
    <row r="375">
      <c r="A375" s="1" t="s">
        <v>216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Q375" s="2" t="str">
        <f t="shared" si="1"/>
        <v/>
      </c>
      <c r="R375" s="2" t="str">
        <f t="shared" si="2"/>
        <v/>
      </c>
      <c r="S375" s="2" t="str">
        <f t="shared" si="3"/>
        <v/>
      </c>
      <c r="T375" s="2" t="str">
        <f t="shared" si="4"/>
        <v/>
      </c>
      <c r="U375" s="2">
        <f t="shared" si="5"/>
        <v>64</v>
      </c>
      <c r="V375" s="2">
        <f t="shared" si="6"/>
        <v>53</v>
      </c>
      <c r="W375" s="2">
        <f t="shared" si="7"/>
        <v>78</v>
      </c>
      <c r="X375" s="2" t="str">
        <f t="shared" si="8"/>
        <v/>
      </c>
      <c r="Y375" s="2" t="str">
        <f t="shared" si="9"/>
        <v/>
      </c>
      <c r="Z375" s="2" t="str">
        <f t="shared" si="10"/>
        <v/>
      </c>
      <c r="AA375" s="2">
        <f t="shared" si="11"/>
        <v>0</v>
      </c>
      <c r="AB375" s="2">
        <f t="shared" si="12"/>
        <v>0</v>
      </c>
      <c r="AC375" s="2" t="str">
        <f>VLOOKUP(A375,Regions!$A$2:$B$233,2)</f>
        <v>Sub-Saharan Africa</v>
      </c>
    </row>
    <row r="376">
      <c r="A376" s="1" t="s">
        <v>217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33</v>
      </c>
      <c r="J376" s="1" t="s">
        <v>33</v>
      </c>
      <c r="K376" s="1" t="s">
        <v>33</v>
      </c>
      <c r="L376" s="1" t="s">
        <v>33</v>
      </c>
      <c r="M376" s="1">
        <v>100.0</v>
      </c>
      <c r="N376" s="1">
        <v>0.0</v>
      </c>
      <c r="O376" s="1">
        <v>0.0</v>
      </c>
      <c r="P376" s="1">
        <v>0.0</v>
      </c>
      <c r="Q376" s="2">
        <f t="shared" si="1"/>
        <v>5</v>
      </c>
      <c r="R376" s="2">
        <f t="shared" si="2"/>
        <v>0</v>
      </c>
      <c r="S376" s="2" t="str">
        <f t="shared" si="3"/>
        <v>null</v>
      </c>
      <c r="T376" s="2">
        <f t="shared" si="4"/>
        <v>0</v>
      </c>
      <c r="U376" s="2">
        <f t="shared" si="5"/>
        <v>100</v>
      </c>
      <c r="V376" s="2" t="str">
        <f t="shared" si="6"/>
        <v>null</v>
      </c>
      <c r="W376" s="2">
        <f t="shared" si="7"/>
        <v>100</v>
      </c>
      <c r="X376" s="2" t="str">
        <f t="shared" si="8"/>
        <v>full access</v>
      </c>
      <c r="Y376" s="2" t="str">
        <f t="shared" si="9"/>
        <v/>
      </c>
      <c r="Z376" s="2" t="str">
        <f t="shared" si="10"/>
        <v>full access</v>
      </c>
      <c r="AA376" s="2" t="str">
        <f t="shared" si="11"/>
        <v>null</v>
      </c>
      <c r="AB376" s="2" t="str">
        <f t="shared" si="12"/>
        <v>null</v>
      </c>
      <c r="AC376" s="2" t="str">
        <f>VLOOKUP(A376,Regions!$A$2:$B$233,2)</f>
        <v>East Asia &amp; Pacific</v>
      </c>
    </row>
    <row r="377">
      <c r="A377" s="1" t="s">
        <v>217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33</v>
      </c>
      <c r="J377" s="1" t="s">
        <v>33</v>
      </c>
      <c r="K377" s="1" t="s">
        <v>33</v>
      </c>
      <c r="L377" s="1" t="s">
        <v>33</v>
      </c>
      <c r="M377" s="1">
        <v>100.0</v>
      </c>
      <c r="N377" s="1">
        <v>0.0</v>
      </c>
      <c r="O377" s="1">
        <v>0.0</v>
      </c>
      <c r="P377" s="1">
        <v>0.0</v>
      </c>
      <c r="Q377" s="2" t="str">
        <f t="shared" si="1"/>
        <v/>
      </c>
      <c r="R377" s="2" t="str">
        <f t="shared" si="2"/>
        <v/>
      </c>
      <c r="S377" s="2" t="str">
        <f t="shared" si="3"/>
        <v/>
      </c>
      <c r="T377" s="2" t="str">
        <f t="shared" si="4"/>
        <v/>
      </c>
      <c r="U377" s="2">
        <f t="shared" si="5"/>
        <v>100</v>
      </c>
      <c r="V377" s="2" t="str">
        <f t="shared" si="6"/>
        <v>null</v>
      </c>
      <c r="W377" s="2">
        <f t="shared" si="7"/>
        <v>100</v>
      </c>
      <c r="X377" s="2" t="str">
        <f t="shared" si="8"/>
        <v/>
      </c>
      <c r="Y377" s="2" t="str">
        <f t="shared" si="9"/>
        <v/>
      </c>
      <c r="Z377" s="2" t="str">
        <f t="shared" si="10"/>
        <v/>
      </c>
      <c r="AA377" s="2">
        <f t="shared" si="11"/>
        <v>0</v>
      </c>
      <c r="AB377" s="2">
        <f t="shared" si="12"/>
        <v>0</v>
      </c>
      <c r="AC377" s="2" t="str">
        <f>VLOOKUP(A377,Regions!$A$2:$B$233,2)</f>
        <v>East Asia &amp; Pacific</v>
      </c>
    </row>
    <row r="378">
      <c r="A378" s="1" t="s">
        <v>218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33</v>
      </c>
      <c r="J378" s="1" t="s">
        <v>33</v>
      </c>
      <c r="K378" s="1" t="s">
        <v>33</v>
      </c>
      <c r="L378" s="1" t="s">
        <v>33</v>
      </c>
      <c r="M378" s="1">
        <v>95.31117933</v>
      </c>
      <c r="N378" s="1">
        <v>0.0</v>
      </c>
      <c r="O378" s="1">
        <v>4.68882067</v>
      </c>
      <c r="P378" s="1">
        <v>0.0</v>
      </c>
      <c r="Q378" s="2">
        <f t="shared" si="1"/>
        <v>2</v>
      </c>
      <c r="R378" s="2">
        <f t="shared" si="2"/>
        <v>0</v>
      </c>
      <c r="S378" s="2" t="str">
        <f t="shared" si="3"/>
        <v>null</v>
      </c>
      <c r="T378" s="2">
        <f t="shared" si="4"/>
        <v>0</v>
      </c>
      <c r="U378" s="2">
        <f t="shared" si="5"/>
        <v>95</v>
      </c>
      <c r="V378" s="2" t="str">
        <f t="shared" si="6"/>
        <v>null</v>
      </c>
      <c r="W378" s="2">
        <f t="shared" si="7"/>
        <v>95</v>
      </c>
      <c r="X378" s="2" t="str">
        <f t="shared" si="8"/>
        <v/>
      </c>
      <c r="Y378" s="2" t="str">
        <f t="shared" si="9"/>
        <v/>
      </c>
      <c r="Z378" s="2" t="str">
        <f t="shared" si="10"/>
        <v/>
      </c>
      <c r="AA378" s="2" t="str">
        <f t="shared" si="11"/>
        <v>null</v>
      </c>
      <c r="AB378" s="2" t="str">
        <f t="shared" si="12"/>
        <v>null</v>
      </c>
      <c r="AC378" s="2" t="str">
        <f>VLOOKUP(A378,Regions!$A$2:$B$233,2)</f>
        <v>Latin America &amp; Caribbean</v>
      </c>
    </row>
    <row r="379">
      <c r="A379" s="1" t="s">
        <v>218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33</v>
      </c>
      <c r="J379" s="1" t="s">
        <v>33</v>
      </c>
      <c r="K379" s="1" t="s">
        <v>33</v>
      </c>
      <c r="L379" s="1" t="s">
        <v>33</v>
      </c>
      <c r="M379" s="1">
        <v>95.31117933</v>
      </c>
      <c r="N379" s="1">
        <v>0.0</v>
      </c>
      <c r="O379" s="1">
        <v>4.68882067</v>
      </c>
      <c r="P379" s="1">
        <v>0.0</v>
      </c>
      <c r="Q379" s="2" t="str">
        <f t="shared" si="1"/>
        <v/>
      </c>
      <c r="R379" s="2" t="str">
        <f t="shared" si="2"/>
        <v/>
      </c>
      <c r="S379" s="2" t="str">
        <f t="shared" si="3"/>
        <v/>
      </c>
      <c r="T379" s="2" t="str">
        <f t="shared" si="4"/>
        <v/>
      </c>
      <c r="U379" s="2">
        <f t="shared" si="5"/>
        <v>95</v>
      </c>
      <c r="V379" s="2" t="str">
        <f t="shared" si="6"/>
        <v>null</v>
      </c>
      <c r="W379" s="2">
        <f t="shared" si="7"/>
        <v>95</v>
      </c>
      <c r="X379" s="2" t="str">
        <f t="shared" si="8"/>
        <v/>
      </c>
      <c r="Y379" s="2" t="str">
        <f t="shared" si="9"/>
        <v/>
      </c>
      <c r="Z379" s="2" t="str">
        <f t="shared" si="10"/>
        <v/>
      </c>
      <c r="AA379" s="2">
        <f t="shared" si="11"/>
        <v>0</v>
      </c>
      <c r="AB379" s="2">
        <f t="shared" si="12"/>
        <v>0</v>
      </c>
      <c r="AC379" s="2" t="str">
        <f>VLOOKUP(A379,Regions!$A$2:$B$233,2)</f>
        <v>Latin America &amp; Caribbean</v>
      </c>
    </row>
    <row r="380">
      <c r="A380" s="1" t="s">
        <v>219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2">
        <f t="shared" si="1"/>
        <v>5</v>
      </c>
      <c r="R380" s="2">
        <f t="shared" si="2"/>
        <v>0.00010189</v>
      </c>
      <c r="S380" s="2">
        <f t="shared" si="3"/>
        <v>0</v>
      </c>
      <c r="T380" s="2">
        <f t="shared" si="4"/>
        <v>0</v>
      </c>
      <c r="U380" s="2">
        <f t="shared" si="5"/>
        <v>100</v>
      </c>
      <c r="V380" s="2">
        <f t="shared" si="6"/>
        <v>100</v>
      </c>
      <c r="W380" s="2">
        <f t="shared" si="7"/>
        <v>100</v>
      </c>
      <c r="X380" s="2" t="str">
        <f t="shared" si="8"/>
        <v>full access</v>
      </c>
      <c r="Y380" s="2" t="str">
        <f t="shared" si="9"/>
        <v>full access</v>
      </c>
      <c r="Z380" s="2" t="str">
        <f t="shared" si="10"/>
        <v>full access</v>
      </c>
      <c r="AA380" s="2">
        <f t="shared" si="11"/>
        <v>0</v>
      </c>
      <c r="AB380" s="2">
        <f t="shared" si="12"/>
        <v>0</v>
      </c>
      <c r="AC380" s="2" t="str">
        <f>VLOOKUP(A380,Regions!$A$2:$B$233,2)</f>
        <v>Europe &amp; Central Asia</v>
      </c>
    </row>
    <row r="381">
      <c r="A381" s="1" t="s">
        <v>219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Q381" s="2" t="str">
        <f t="shared" si="1"/>
        <v/>
      </c>
      <c r="R381" s="2" t="str">
        <f t="shared" si="2"/>
        <v/>
      </c>
      <c r="S381" s="2" t="str">
        <f t="shared" si="3"/>
        <v/>
      </c>
      <c r="T381" s="2" t="str">
        <f t="shared" si="4"/>
        <v/>
      </c>
      <c r="U381" s="2">
        <f t="shared" si="5"/>
        <v>100</v>
      </c>
      <c r="V381" s="2">
        <f t="shared" si="6"/>
        <v>100</v>
      </c>
      <c r="W381" s="2">
        <f t="shared" si="7"/>
        <v>100</v>
      </c>
      <c r="X381" s="2" t="str">
        <f t="shared" si="8"/>
        <v/>
      </c>
      <c r="Y381" s="2" t="str">
        <f t="shared" si="9"/>
        <v/>
      </c>
      <c r="Z381" s="2" t="str">
        <f t="shared" si="10"/>
        <v/>
      </c>
      <c r="AA381" s="2">
        <f t="shared" si="11"/>
        <v>0</v>
      </c>
      <c r="AB381" s="2">
        <f t="shared" si="12"/>
        <v>0</v>
      </c>
      <c r="AC381" s="2" t="str">
        <f>VLOOKUP(A381,Regions!$A$2:$B$233,2)</f>
        <v>Europe &amp; Central Asia</v>
      </c>
    </row>
    <row r="382">
      <c r="A382" s="1" t="s">
        <v>220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33</v>
      </c>
      <c r="J382" s="1" t="s">
        <v>33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 s="1" t="s">
        <v>33</v>
      </c>
      <c r="Q382" s="2">
        <f t="shared" si="1"/>
        <v>5</v>
      </c>
      <c r="R382" s="2">
        <f t="shared" si="2"/>
        <v>0</v>
      </c>
      <c r="S382" s="2" t="str">
        <f t="shared" si="3"/>
        <v>null</v>
      </c>
      <c r="T382" s="2" t="str">
        <f t="shared" si="4"/>
        <v>null</v>
      </c>
      <c r="U382" s="2">
        <f t="shared" si="5"/>
        <v>100</v>
      </c>
      <c r="V382" s="2" t="str">
        <f t="shared" si="6"/>
        <v>null</v>
      </c>
      <c r="W382" s="2" t="str">
        <f t="shared" si="7"/>
        <v>null</v>
      </c>
      <c r="X382" s="2" t="str">
        <f t="shared" si="8"/>
        <v>full access</v>
      </c>
      <c r="Y382" s="2" t="str">
        <f t="shared" si="9"/>
        <v/>
      </c>
      <c r="Z382" s="2" t="str">
        <f t="shared" si="10"/>
        <v/>
      </c>
      <c r="AA382" s="2" t="str">
        <f t="shared" si="11"/>
        <v>null</v>
      </c>
      <c r="AB382" s="2" t="str">
        <f t="shared" si="12"/>
        <v>null</v>
      </c>
      <c r="AC382" s="2" t="str">
        <f>VLOOKUP(A382,Regions!$A$2:$B$233,2)</f>
        <v>Europe &amp; Central Asia</v>
      </c>
    </row>
    <row r="383">
      <c r="A383" s="1" t="s">
        <v>220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33</v>
      </c>
      <c r="J383" s="1" t="s">
        <v>33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33</v>
      </c>
      <c r="P383" s="1" t="s">
        <v>33</v>
      </c>
      <c r="Q383" s="2" t="str">
        <f t="shared" si="1"/>
        <v/>
      </c>
      <c r="R383" s="2" t="str">
        <f t="shared" si="2"/>
        <v/>
      </c>
      <c r="S383" s="2" t="str">
        <f t="shared" si="3"/>
        <v/>
      </c>
      <c r="T383" s="2" t="str">
        <f t="shared" si="4"/>
        <v/>
      </c>
      <c r="U383" s="2">
        <f t="shared" si="5"/>
        <v>100</v>
      </c>
      <c r="V383" s="2" t="str">
        <f t="shared" si="6"/>
        <v>null</v>
      </c>
      <c r="W383" s="2" t="str">
        <f t="shared" si="7"/>
        <v>null</v>
      </c>
      <c r="X383" s="2" t="str">
        <f t="shared" si="8"/>
        <v/>
      </c>
      <c r="Y383" s="2" t="str">
        <f t="shared" si="9"/>
        <v/>
      </c>
      <c r="Z383" s="2" t="str">
        <f t="shared" si="10"/>
        <v/>
      </c>
      <c r="AA383" s="2">
        <f t="shared" si="11"/>
        <v>0</v>
      </c>
      <c r="AB383" s="2">
        <f t="shared" si="12"/>
        <v>0</v>
      </c>
      <c r="AC383" s="2" t="str">
        <f>VLOOKUP(A383,Regions!$A$2:$B$233,2)</f>
        <v>Europe &amp; Central Asia</v>
      </c>
    </row>
    <row r="384">
      <c r="A384" s="1" t="s">
        <v>221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2">
        <f t="shared" si="1"/>
        <v>5</v>
      </c>
      <c r="R384" s="2">
        <f t="shared" si="2"/>
        <v>-0.40577867</v>
      </c>
      <c r="S384" s="2">
        <f t="shared" si="3"/>
        <v>-0.72137414</v>
      </c>
      <c r="T384" s="2">
        <f t="shared" si="4"/>
        <v>0.028760968</v>
      </c>
      <c r="U384" s="2">
        <f t="shared" si="5"/>
        <v>69</v>
      </c>
      <c r="V384" s="2">
        <f t="shared" si="6"/>
        <v>63</v>
      </c>
      <c r="W384" s="2">
        <f t="shared" si="7"/>
        <v>91</v>
      </c>
      <c r="X384" s="2" t="str">
        <f t="shared" si="8"/>
        <v/>
      </c>
      <c r="Y384" s="2" t="str">
        <f t="shared" si="9"/>
        <v/>
      </c>
      <c r="Z384" s="2" t="str">
        <f t="shared" si="10"/>
        <v/>
      </c>
      <c r="AA384" s="2">
        <f t="shared" si="11"/>
        <v>-0.750135108</v>
      </c>
      <c r="AB384" s="2">
        <f t="shared" si="12"/>
        <v>0.750135108</v>
      </c>
      <c r="AC384" s="2" t="str">
        <f>VLOOKUP(A384,Regions!$A$2:$B$233,2)</f>
        <v>East Asia &amp; Pacific</v>
      </c>
    </row>
    <row r="385">
      <c r="A385" s="1" t="s">
        <v>221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Q385" s="2" t="str">
        <f t="shared" si="1"/>
        <v/>
      </c>
      <c r="R385" s="2" t="str">
        <f t="shared" si="2"/>
        <v/>
      </c>
      <c r="S385" s="2" t="str">
        <f t="shared" si="3"/>
        <v/>
      </c>
      <c r="T385" s="2" t="str">
        <f t="shared" si="4"/>
        <v/>
      </c>
      <c r="U385" s="2">
        <f t="shared" si="5"/>
        <v>67</v>
      </c>
      <c r="V385" s="2">
        <f t="shared" si="6"/>
        <v>59</v>
      </c>
      <c r="W385" s="2">
        <f t="shared" si="7"/>
        <v>91</v>
      </c>
      <c r="X385" s="2" t="str">
        <f t="shared" si="8"/>
        <v/>
      </c>
      <c r="Y385" s="2" t="str">
        <f t="shared" si="9"/>
        <v/>
      </c>
      <c r="Z385" s="2" t="str">
        <f t="shared" si="10"/>
        <v/>
      </c>
      <c r="AA385" s="2">
        <f t="shared" si="11"/>
        <v>0</v>
      </c>
      <c r="AB385" s="2">
        <f t="shared" si="12"/>
        <v>0</v>
      </c>
      <c r="AC385" s="2" t="str">
        <f>VLOOKUP(A385,Regions!$A$2:$B$233,2)</f>
        <v>East Asia &amp; Pacific</v>
      </c>
    </row>
    <row r="386">
      <c r="A386" s="1" t="s">
        <v>222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2">
        <f t="shared" si="1"/>
        <v>5</v>
      </c>
      <c r="R386" s="2">
        <f t="shared" si="2"/>
        <v>1.553163942</v>
      </c>
      <c r="S386" s="2">
        <f t="shared" si="3"/>
        <v>1.569534044</v>
      </c>
      <c r="T386" s="2">
        <f t="shared" si="4"/>
        <v>0.96851942</v>
      </c>
      <c r="U386" s="2">
        <f t="shared" si="5"/>
        <v>49</v>
      </c>
      <c r="V386" s="2">
        <f t="shared" si="6"/>
        <v>29</v>
      </c>
      <c r="W386" s="2">
        <f t="shared" si="7"/>
        <v>74</v>
      </c>
      <c r="X386" s="2" t="str">
        <f t="shared" si="8"/>
        <v/>
      </c>
      <c r="Y386" s="2" t="str">
        <f t="shared" si="9"/>
        <v/>
      </c>
      <c r="Z386" s="2" t="str">
        <f t="shared" si="10"/>
        <v/>
      </c>
      <c r="AA386" s="2">
        <f t="shared" si="11"/>
        <v>0.601014624</v>
      </c>
      <c r="AB386" s="2">
        <f t="shared" si="12"/>
        <v>0.601014624</v>
      </c>
      <c r="AC386" s="2" t="str">
        <f>VLOOKUP(A386,Regions!$A$2:$B$233,2)</f>
        <v>Sub-Saharan Africa</v>
      </c>
    </row>
    <row r="387">
      <c r="A387" s="1" t="s">
        <v>222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Q387" s="2" t="str">
        <f t="shared" si="1"/>
        <v/>
      </c>
      <c r="R387" s="2" t="str">
        <f t="shared" si="2"/>
        <v/>
      </c>
      <c r="S387" s="2" t="str">
        <f t="shared" si="3"/>
        <v/>
      </c>
      <c r="T387" s="2" t="str">
        <f t="shared" si="4"/>
        <v/>
      </c>
      <c r="U387" s="2">
        <f t="shared" si="5"/>
        <v>56</v>
      </c>
      <c r="V387" s="2">
        <f t="shared" si="6"/>
        <v>37</v>
      </c>
      <c r="W387" s="2">
        <f t="shared" si="7"/>
        <v>79</v>
      </c>
      <c r="X387" s="2" t="str">
        <f t="shared" si="8"/>
        <v/>
      </c>
      <c r="Y387" s="2" t="str">
        <f t="shared" si="9"/>
        <v/>
      </c>
      <c r="Z387" s="2" t="str">
        <f t="shared" si="10"/>
        <v/>
      </c>
      <c r="AA387" s="2">
        <f t="shared" si="11"/>
        <v>0</v>
      </c>
      <c r="AB387" s="2">
        <f t="shared" si="12"/>
        <v>0</v>
      </c>
      <c r="AC387" s="2" t="str">
        <f>VLOOKUP(A387,Regions!$A$2:$B$233,2)</f>
        <v>Sub-Saharan Africa</v>
      </c>
    </row>
    <row r="388">
      <c r="A388" s="1" t="s">
        <v>223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2">
        <f t="shared" si="1"/>
        <v>5</v>
      </c>
      <c r="R388" s="2">
        <f t="shared" si="2"/>
        <v>0.401742714</v>
      </c>
      <c r="S388" s="2">
        <f t="shared" si="3"/>
        <v>0.85914853</v>
      </c>
      <c r="T388" s="2">
        <f t="shared" si="4"/>
        <v>0.031450278</v>
      </c>
      <c r="U388" s="2">
        <f t="shared" si="5"/>
        <v>92</v>
      </c>
      <c r="V388" s="2">
        <f t="shared" si="6"/>
        <v>79</v>
      </c>
      <c r="W388" s="2">
        <f t="shared" si="7"/>
        <v>99</v>
      </c>
      <c r="X388" s="2" t="str">
        <f t="shared" si="8"/>
        <v/>
      </c>
      <c r="Y388" s="2" t="str">
        <f t="shared" si="9"/>
        <v/>
      </c>
      <c r="Z388" s="2" t="str">
        <f t="shared" si="10"/>
        <v/>
      </c>
      <c r="AA388" s="2">
        <f t="shared" si="11"/>
        <v>0.827698252</v>
      </c>
      <c r="AB388" s="2">
        <f t="shared" si="12"/>
        <v>0.827698252</v>
      </c>
      <c r="AC388" s="2" t="str">
        <f>VLOOKUP(A388,Regions!$A$2:$B$233,2)</f>
        <v>Sub-Saharan Africa</v>
      </c>
    </row>
    <row r="389">
      <c r="A389" s="1" t="s">
        <v>223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Q389" s="2" t="str">
        <f t="shared" si="1"/>
        <v/>
      </c>
      <c r="R389" s="2" t="str">
        <f t="shared" si="2"/>
        <v/>
      </c>
      <c r="S389" s="2" t="str">
        <f t="shared" si="3"/>
        <v/>
      </c>
      <c r="T389" s="2" t="str">
        <f t="shared" si="4"/>
        <v/>
      </c>
      <c r="U389" s="2">
        <f t="shared" si="5"/>
        <v>94</v>
      </c>
      <c r="V389" s="2">
        <f t="shared" si="6"/>
        <v>83</v>
      </c>
      <c r="W389" s="2">
        <f t="shared" si="7"/>
        <v>99</v>
      </c>
      <c r="X389" s="2" t="str">
        <f t="shared" si="8"/>
        <v/>
      </c>
      <c r="Y389" s="2" t="str">
        <f t="shared" si="9"/>
        <v/>
      </c>
      <c r="Z389" s="2" t="str">
        <f t="shared" si="10"/>
        <v/>
      </c>
      <c r="AA389" s="2">
        <f t="shared" si="11"/>
        <v>0</v>
      </c>
      <c r="AB389" s="2">
        <f t="shared" si="12"/>
        <v>0</v>
      </c>
      <c r="AC389" s="2" t="str">
        <f>VLOOKUP(A389,Regions!$A$2:$B$233,2)</f>
        <v>Sub-Saharan Africa</v>
      </c>
    </row>
    <row r="390">
      <c r="A390" s="1" t="s">
        <v>224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2">
        <f t="shared" si="1"/>
        <v>5</v>
      </c>
      <c r="R390" s="2">
        <f t="shared" si="2"/>
        <v>-0.059316458</v>
      </c>
      <c r="S390" s="2">
        <f t="shared" si="3"/>
        <v>-0.626630184</v>
      </c>
      <c r="T390" s="2">
        <f t="shared" si="4"/>
        <v>1.862165418</v>
      </c>
      <c r="U390" s="2">
        <f t="shared" si="5"/>
        <v>41</v>
      </c>
      <c r="V390" s="2">
        <f t="shared" si="6"/>
        <v>37</v>
      </c>
      <c r="W390" s="2">
        <f t="shared" si="7"/>
        <v>61</v>
      </c>
      <c r="X390" s="2" t="str">
        <f t="shared" si="8"/>
        <v/>
      </c>
      <c r="Y390" s="2" t="str">
        <f t="shared" si="9"/>
        <v/>
      </c>
      <c r="Z390" s="2" t="str">
        <f t="shared" si="10"/>
        <v/>
      </c>
      <c r="AA390" s="2">
        <f t="shared" si="11"/>
        <v>-2.488795602</v>
      </c>
      <c r="AB390" s="2">
        <f t="shared" si="12"/>
        <v>2.488795602</v>
      </c>
      <c r="AC390" s="2" t="str">
        <f>VLOOKUP(A390,Regions!$A$2:$B$233,2)</f>
        <v>Sub-Saharan Africa</v>
      </c>
    </row>
    <row r="391">
      <c r="A391" s="1" t="s">
        <v>224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Q391" s="2" t="str">
        <f t="shared" si="1"/>
        <v/>
      </c>
      <c r="R391" s="2" t="str">
        <f t="shared" si="2"/>
        <v/>
      </c>
      <c r="S391" s="2" t="str">
        <f t="shared" si="3"/>
        <v/>
      </c>
      <c r="T391" s="2" t="str">
        <f t="shared" si="4"/>
        <v/>
      </c>
      <c r="U391" s="2">
        <f t="shared" si="5"/>
        <v>41</v>
      </c>
      <c r="V391" s="2">
        <f t="shared" si="6"/>
        <v>34</v>
      </c>
      <c r="W391" s="2">
        <f t="shared" si="7"/>
        <v>70</v>
      </c>
      <c r="X391" s="2" t="str">
        <f t="shared" si="8"/>
        <v/>
      </c>
      <c r="Y391" s="2" t="str">
        <f t="shared" si="9"/>
        <v/>
      </c>
      <c r="Z391" s="2" t="str">
        <f t="shared" si="10"/>
        <v/>
      </c>
      <c r="AA391" s="2">
        <f t="shared" si="11"/>
        <v>0</v>
      </c>
      <c r="AB391" s="2">
        <f t="shared" si="12"/>
        <v>0</v>
      </c>
      <c r="AC391" s="2" t="str">
        <f>VLOOKUP(A391,Regions!$A$2:$B$233,2)</f>
        <v>Sub-Saharan Africa</v>
      </c>
    </row>
    <row r="392">
      <c r="A392" s="1" t="s">
        <v>225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2">
        <f t="shared" si="1"/>
        <v>5</v>
      </c>
      <c r="R392" s="2">
        <f t="shared" si="2"/>
        <v>-0.00022157</v>
      </c>
      <c r="S392" s="2">
        <f t="shared" si="3"/>
        <v>0</v>
      </c>
      <c r="T392" s="2">
        <f t="shared" si="4"/>
        <v>0</v>
      </c>
      <c r="U392" s="2">
        <f t="shared" si="5"/>
        <v>100</v>
      </c>
      <c r="V392" s="2">
        <f t="shared" si="6"/>
        <v>100</v>
      </c>
      <c r="W392" s="2">
        <f t="shared" si="7"/>
        <v>100</v>
      </c>
      <c r="X392" s="2" t="str">
        <f t="shared" si="8"/>
        <v>full access</v>
      </c>
      <c r="Y392" s="2" t="str">
        <f t="shared" si="9"/>
        <v>full access</v>
      </c>
      <c r="Z392" s="2" t="str">
        <f t="shared" si="10"/>
        <v>full access</v>
      </c>
      <c r="AA392" s="2">
        <f t="shared" si="11"/>
        <v>0</v>
      </c>
      <c r="AB392" s="2">
        <f t="shared" si="12"/>
        <v>0</v>
      </c>
      <c r="AC392" s="2" t="str">
        <f>VLOOKUP(A392,Regions!$A$2:$B$233,2)</f>
        <v>Europe &amp; Central Asia</v>
      </c>
    </row>
    <row r="393">
      <c r="A393" s="1" t="s">
        <v>225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Q393" s="2" t="str">
        <f t="shared" si="1"/>
        <v/>
      </c>
      <c r="R393" s="2" t="str">
        <f t="shared" si="2"/>
        <v/>
      </c>
      <c r="S393" s="2" t="str">
        <f t="shared" si="3"/>
        <v/>
      </c>
      <c r="T393" s="2" t="str">
        <f t="shared" si="4"/>
        <v/>
      </c>
      <c r="U393" s="2">
        <f t="shared" si="5"/>
        <v>100</v>
      </c>
      <c r="V393" s="2">
        <f t="shared" si="6"/>
        <v>100</v>
      </c>
      <c r="W393" s="2">
        <f t="shared" si="7"/>
        <v>100</v>
      </c>
      <c r="X393" s="2" t="str">
        <f t="shared" si="8"/>
        <v/>
      </c>
      <c r="Y393" s="2" t="str">
        <f t="shared" si="9"/>
        <v/>
      </c>
      <c r="Z393" s="2" t="str">
        <f t="shared" si="10"/>
        <v/>
      </c>
      <c r="AA393" s="2">
        <f t="shared" si="11"/>
        <v>0</v>
      </c>
      <c r="AB393" s="2">
        <f t="shared" si="12"/>
        <v>0</v>
      </c>
      <c r="AC393" s="2" t="str">
        <f>VLOOKUP(A393,Regions!$A$2:$B$233,2)</f>
        <v>Europe &amp; Central Asia</v>
      </c>
    </row>
    <row r="394">
      <c r="A394" s="1" t="s">
        <v>226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2">
        <f t="shared" si="1"/>
        <v>5</v>
      </c>
      <c r="R394" s="2">
        <f t="shared" si="2"/>
        <v>0.42331016</v>
      </c>
      <c r="S394" s="2">
        <f t="shared" si="3"/>
        <v>0.456065912</v>
      </c>
      <c r="T394" s="2">
        <f t="shared" si="4"/>
        <v>0.231426734</v>
      </c>
      <c r="U394" s="2">
        <f t="shared" si="5"/>
        <v>90</v>
      </c>
      <c r="V394" s="2">
        <f t="shared" si="6"/>
        <v>88</v>
      </c>
      <c r="W394" s="2">
        <f t="shared" si="7"/>
        <v>98</v>
      </c>
      <c r="X394" s="2" t="str">
        <f t="shared" si="8"/>
        <v/>
      </c>
      <c r="Y394" s="2" t="str">
        <f t="shared" si="9"/>
        <v/>
      </c>
      <c r="Z394" s="2" t="str">
        <f t="shared" si="10"/>
        <v/>
      </c>
      <c r="AA394" s="2">
        <f t="shared" si="11"/>
        <v>0.224639178</v>
      </c>
      <c r="AB394" s="2">
        <f t="shared" si="12"/>
        <v>0.224639178</v>
      </c>
      <c r="AC394" s="2" t="str">
        <f>VLOOKUP(A394,Regions!$A$2:$B$233,2)</f>
        <v>South Asia</v>
      </c>
    </row>
    <row r="395">
      <c r="A395" s="1" t="s">
        <v>226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Q395" s="2" t="str">
        <f t="shared" si="1"/>
        <v/>
      </c>
      <c r="R395" s="2" t="str">
        <f t="shared" si="2"/>
        <v/>
      </c>
      <c r="S395" s="2" t="str">
        <f t="shared" si="3"/>
        <v/>
      </c>
      <c r="T395" s="2" t="str">
        <f t="shared" si="4"/>
        <v/>
      </c>
      <c r="U395" s="2">
        <f t="shared" si="5"/>
        <v>92</v>
      </c>
      <c r="V395" s="2">
        <f t="shared" si="6"/>
        <v>91</v>
      </c>
      <c r="W395" s="2">
        <f t="shared" si="7"/>
        <v>100</v>
      </c>
      <c r="X395" s="2" t="str">
        <f t="shared" si="8"/>
        <v/>
      </c>
      <c r="Y395" s="2" t="str">
        <f t="shared" si="9"/>
        <v/>
      </c>
      <c r="Z395" s="2" t="str">
        <f t="shared" si="10"/>
        <v/>
      </c>
      <c r="AA395" s="2">
        <f t="shared" si="11"/>
        <v>0</v>
      </c>
      <c r="AB395" s="2">
        <f t="shared" si="12"/>
        <v>0</v>
      </c>
      <c r="AC395" s="2" t="str">
        <f>VLOOKUP(A395,Regions!$A$2:$B$233,2)</f>
        <v>South Asia</v>
      </c>
    </row>
    <row r="396">
      <c r="A396" s="1" t="s">
        <v>227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2">
        <f t="shared" si="1"/>
        <v>5</v>
      </c>
      <c r="R396" s="2">
        <f t="shared" si="2"/>
        <v>0.299684456</v>
      </c>
      <c r="S396" s="2">
        <f t="shared" si="3"/>
        <v>0.298317868</v>
      </c>
      <c r="T396" s="2">
        <f t="shared" si="4"/>
        <v>0.137440398</v>
      </c>
      <c r="U396" s="2">
        <f t="shared" si="5"/>
        <v>59</v>
      </c>
      <c r="V396" s="2">
        <f t="shared" si="6"/>
        <v>52</v>
      </c>
      <c r="W396" s="2">
        <f t="shared" si="7"/>
        <v>73</v>
      </c>
      <c r="X396" s="2" t="str">
        <f t="shared" si="8"/>
        <v/>
      </c>
      <c r="Y396" s="2" t="str">
        <f t="shared" si="9"/>
        <v/>
      </c>
      <c r="Z396" s="2" t="str">
        <f t="shared" si="10"/>
        <v/>
      </c>
      <c r="AA396" s="2">
        <f t="shared" si="11"/>
        <v>0.16087747</v>
      </c>
      <c r="AB396" s="2">
        <f t="shared" si="12"/>
        <v>0.16087747</v>
      </c>
      <c r="AC396" s="2" t="str">
        <f>VLOOKUP(A396,Regions!$A$2:$B$233,2)</f>
        <v>Middle East &amp; North Africa</v>
      </c>
    </row>
    <row r="397">
      <c r="A397" s="1" t="s">
        <v>227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Q397" s="2" t="str">
        <f t="shared" si="1"/>
        <v/>
      </c>
      <c r="R397" s="2" t="str">
        <f t="shared" si="2"/>
        <v/>
      </c>
      <c r="S397" s="2" t="str">
        <f t="shared" si="3"/>
        <v/>
      </c>
      <c r="T397" s="2" t="str">
        <f t="shared" si="4"/>
        <v/>
      </c>
      <c r="U397" s="2">
        <f t="shared" si="5"/>
        <v>60</v>
      </c>
      <c r="V397" s="2">
        <f t="shared" si="6"/>
        <v>53</v>
      </c>
      <c r="W397" s="2">
        <f t="shared" si="7"/>
        <v>74</v>
      </c>
      <c r="X397" s="2" t="str">
        <f t="shared" si="8"/>
        <v/>
      </c>
      <c r="Y397" s="2" t="str">
        <f t="shared" si="9"/>
        <v/>
      </c>
      <c r="Z397" s="2" t="str">
        <f t="shared" si="10"/>
        <v/>
      </c>
      <c r="AA397" s="2">
        <f t="shared" si="11"/>
        <v>0</v>
      </c>
      <c r="AB397" s="2">
        <f t="shared" si="12"/>
        <v>0</v>
      </c>
      <c r="AC397" s="2" t="str">
        <f>VLOOKUP(A397,Regions!$A$2:$B$233,2)</f>
        <v>Middle East &amp; North Africa</v>
      </c>
    </row>
    <row r="398">
      <c r="A398" s="1" t="s">
        <v>228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2">
        <f t="shared" si="1"/>
        <v>5</v>
      </c>
      <c r="R398" s="2">
        <f t="shared" si="2"/>
        <v>0.4483879</v>
      </c>
      <c r="S398" s="2">
        <f t="shared" si="3"/>
        <v>1.198959262</v>
      </c>
      <c r="T398" s="2">
        <f t="shared" si="4"/>
        <v>0.062090834</v>
      </c>
      <c r="U398" s="2">
        <f t="shared" si="5"/>
        <v>96</v>
      </c>
      <c r="V398" s="2">
        <f t="shared" si="6"/>
        <v>91</v>
      </c>
      <c r="W398" s="2">
        <f t="shared" si="7"/>
        <v>98</v>
      </c>
      <c r="X398" s="2" t="str">
        <f t="shared" si="8"/>
        <v/>
      </c>
      <c r="Y398" s="2" t="str">
        <f t="shared" si="9"/>
        <v/>
      </c>
      <c r="Z398" s="2" t="str">
        <f t="shared" si="10"/>
        <v/>
      </c>
      <c r="AA398" s="2">
        <f t="shared" si="11"/>
        <v>1.136868428</v>
      </c>
      <c r="AB398" s="2">
        <f t="shared" si="12"/>
        <v>1.136868428</v>
      </c>
      <c r="AC398" s="2" t="str">
        <f>VLOOKUP(A398,Regions!$A$2:$B$233,2)</f>
        <v>Latin America &amp; Caribbean</v>
      </c>
    </row>
    <row r="399">
      <c r="A399" s="1" t="s">
        <v>228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Q399" s="2" t="str">
        <f t="shared" si="1"/>
        <v/>
      </c>
      <c r="R399" s="2" t="str">
        <f t="shared" si="2"/>
        <v/>
      </c>
      <c r="S399" s="2" t="str">
        <f t="shared" si="3"/>
        <v/>
      </c>
      <c r="T399" s="2" t="str">
        <f t="shared" si="4"/>
        <v/>
      </c>
      <c r="U399" s="2">
        <f t="shared" si="5"/>
        <v>98</v>
      </c>
      <c r="V399" s="2">
        <f t="shared" si="6"/>
        <v>97</v>
      </c>
      <c r="W399" s="2">
        <f t="shared" si="7"/>
        <v>99</v>
      </c>
      <c r="X399" s="2" t="str">
        <f t="shared" si="8"/>
        <v/>
      </c>
      <c r="Y399" s="2" t="str">
        <f t="shared" si="9"/>
        <v/>
      </c>
      <c r="Z399" s="2" t="str">
        <f t="shared" si="10"/>
        <v/>
      </c>
      <c r="AA399" s="2">
        <f t="shared" si="11"/>
        <v>0</v>
      </c>
      <c r="AB399" s="2">
        <f t="shared" si="12"/>
        <v>0</v>
      </c>
      <c r="AC399" s="2" t="str">
        <f>VLOOKUP(A399,Regions!$A$2:$B$233,2)</f>
        <v>Latin America &amp; Caribbean</v>
      </c>
    </row>
    <row r="400">
      <c r="A400" s="1" t="s">
        <v>229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2">
        <f t="shared" si="1"/>
        <v>5</v>
      </c>
      <c r="R400" s="2">
        <f t="shared" si="2"/>
        <v>0.00912732</v>
      </c>
      <c r="S400" s="2">
        <f t="shared" si="3"/>
        <v>0.033877642</v>
      </c>
      <c r="T400" s="2">
        <f t="shared" si="4"/>
        <v>0.004879458</v>
      </c>
      <c r="U400" s="2">
        <f t="shared" si="5"/>
        <v>100</v>
      </c>
      <c r="V400" s="2">
        <f t="shared" si="6"/>
        <v>100</v>
      </c>
      <c r="W400" s="2">
        <f t="shared" si="7"/>
        <v>100</v>
      </c>
      <c r="X400" s="2" t="str">
        <f t="shared" si="8"/>
        <v>full access</v>
      </c>
      <c r="Y400" s="2" t="str">
        <f t="shared" si="9"/>
        <v>full access</v>
      </c>
      <c r="Z400" s="2" t="str">
        <f t="shared" si="10"/>
        <v>full access</v>
      </c>
      <c r="AA400" s="2">
        <f t="shared" si="11"/>
        <v>0.028998184</v>
      </c>
      <c r="AB400" s="2">
        <f t="shared" si="12"/>
        <v>0.028998184</v>
      </c>
      <c r="AC400" s="2" t="str">
        <f>VLOOKUP(A400,Regions!$A$2:$B$233,2)</f>
        <v>Europe &amp; Central Asia</v>
      </c>
    </row>
    <row r="401">
      <c r="A401" s="1" t="s">
        <v>229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Q401" s="2" t="str">
        <f t="shared" si="1"/>
        <v/>
      </c>
      <c r="R401" s="2" t="str">
        <f t="shared" si="2"/>
        <v/>
      </c>
      <c r="S401" s="2" t="str">
        <f t="shared" si="3"/>
        <v/>
      </c>
      <c r="T401" s="2" t="str">
        <f t="shared" si="4"/>
        <v/>
      </c>
      <c r="U401" s="2">
        <f t="shared" si="5"/>
        <v>100</v>
      </c>
      <c r="V401" s="2">
        <f t="shared" si="6"/>
        <v>100</v>
      </c>
      <c r="W401" s="2">
        <f t="shared" si="7"/>
        <v>100</v>
      </c>
      <c r="X401" s="2" t="str">
        <f t="shared" si="8"/>
        <v/>
      </c>
      <c r="Y401" s="2" t="str">
        <f t="shared" si="9"/>
        <v/>
      </c>
      <c r="Z401" s="2" t="str">
        <f t="shared" si="10"/>
        <v/>
      </c>
      <c r="AA401" s="2">
        <f t="shared" si="11"/>
        <v>0</v>
      </c>
      <c r="AB401" s="2">
        <f t="shared" si="12"/>
        <v>0</v>
      </c>
      <c r="AC401" s="2" t="str">
        <f>VLOOKUP(A401,Regions!$A$2:$B$233,2)</f>
        <v>Europe &amp; Central Asia</v>
      </c>
    </row>
    <row r="402">
      <c r="A402" s="1" t="s">
        <v>230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2">
        <f t="shared" si="1"/>
        <v>5</v>
      </c>
      <c r="R402" s="2">
        <f t="shared" si="2"/>
        <v>0.0000005600000009</v>
      </c>
      <c r="S402" s="2">
        <f t="shared" si="3"/>
        <v>0</v>
      </c>
      <c r="T402" s="2">
        <f t="shared" si="4"/>
        <v>0</v>
      </c>
      <c r="U402" s="2">
        <f t="shared" si="5"/>
        <v>100</v>
      </c>
      <c r="V402" s="2">
        <f t="shared" si="6"/>
        <v>100</v>
      </c>
      <c r="W402" s="2">
        <f t="shared" si="7"/>
        <v>100</v>
      </c>
      <c r="X402" s="2" t="str">
        <f t="shared" si="8"/>
        <v>full access</v>
      </c>
      <c r="Y402" s="2" t="str">
        <f t="shared" si="9"/>
        <v>full access</v>
      </c>
      <c r="Z402" s="2" t="str">
        <f t="shared" si="10"/>
        <v>full access</v>
      </c>
      <c r="AA402" s="2">
        <f t="shared" si="11"/>
        <v>0</v>
      </c>
      <c r="AB402" s="2">
        <f t="shared" si="12"/>
        <v>0</v>
      </c>
      <c r="AC402" s="2" t="str">
        <f>VLOOKUP(A402,Regions!$A$2:$B$233,2)</f>
        <v>Europe &amp; Central Asia</v>
      </c>
    </row>
    <row r="403">
      <c r="A403" s="1" t="s">
        <v>230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Q403" s="2" t="str">
        <f t="shared" si="1"/>
        <v/>
      </c>
      <c r="R403" s="2" t="str">
        <f t="shared" si="2"/>
        <v/>
      </c>
      <c r="S403" s="2" t="str">
        <f t="shared" si="3"/>
        <v/>
      </c>
      <c r="T403" s="2" t="str">
        <f t="shared" si="4"/>
        <v/>
      </c>
      <c r="U403" s="2">
        <f t="shared" si="5"/>
        <v>100</v>
      </c>
      <c r="V403" s="2">
        <f t="shared" si="6"/>
        <v>100</v>
      </c>
      <c r="W403" s="2">
        <f t="shared" si="7"/>
        <v>100</v>
      </c>
      <c r="X403" s="2" t="str">
        <f t="shared" si="8"/>
        <v/>
      </c>
      <c r="Y403" s="2" t="str">
        <f t="shared" si="9"/>
        <v/>
      </c>
      <c r="Z403" s="2" t="str">
        <f t="shared" si="10"/>
        <v/>
      </c>
      <c r="AA403" s="2">
        <f t="shared" si="11"/>
        <v>0</v>
      </c>
      <c r="AB403" s="2">
        <f t="shared" si="12"/>
        <v>0</v>
      </c>
      <c r="AC403" s="2" t="str">
        <f>VLOOKUP(A403,Regions!$A$2:$B$233,2)</f>
        <v>Europe &amp; Central Asia</v>
      </c>
    </row>
    <row r="404">
      <c r="A404" s="1" t="s">
        <v>231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2">
        <f t="shared" si="1"/>
        <v>5</v>
      </c>
      <c r="R404" s="2">
        <f t="shared" si="2"/>
        <v>0.08324914</v>
      </c>
      <c r="S404" s="2">
        <f t="shared" si="3"/>
        <v>0.13940798</v>
      </c>
      <c r="T404" s="2">
        <f t="shared" si="4"/>
        <v>-0.010364566</v>
      </c>
      <c r="U404" s="2">
        <f t="shared" si="5"/>
        <v>94</v>
      </c>
      <c r="V404" s="2">
        <f t="shared" si="6"/>
        <v>91</v>
      </c>
      <c r="W404" s="2">
        <f t="shared" si="7"/>
        <v>95</v>
      </c>
      <c r="X404" s="2" t="str">
        <f t="shared" si="8"/>
        <v/>
      </c>
      <c r="Y404" s="2" t="str">
        <f t="shared" si="9"/>
        <v/>
      </c>
      <c r="Z404" s="2" t="str">
        <f t="shared" si="10"/>
        <v/>
      </c>
      <c r="AA404" s="2">
        <f t="shared" si="11"/>
        <v>0.149772546</v>
      </c>
      <c r="AB404" s="2">
        <f t="shared" si="12"/>
        <v>0.149772546</v>
      </c>
      <c r="AC404" s="2" t="str">
        <f>VLOOKUP(A404,Regions!$A$2:$B$233,2)</f>
        <v>Middle East &amp; North Africa</v>
      </c>
    </row>
    <row r="405">
      <c r="A405" s="1" t="s">
        <v>231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Q405" s="2" t="str">
        <f t="shared" si="1"/>
        <v/>
      </c>
      <c r="R405" s="2" t="str">
        <f t="shared" si="2"/>
        <v/>
      </c>
      <c r="S405" s="2" t="str">
        <f t="shared" si="3"/>
        <v/>
      </c>
      <c r="T405" s="2" t="str">
        <f t="shared" si="4"/>
        <v/>
      </c>
      <c r="U405" s="2">
        <f t="shared" si="5"/>
        <v>94</v>
      </c>
      <c r="V405" s="2">
        <f t="shared" si="6"/>
        <v>92</v>
      </c>
      <c r="W405" s="2">
        <f t="shared" si="7"/>
        <v>95</v>
      </c>
      <c r="X405" s="2" t="str">
        <f t="shared" si="8"/>
        <v/>
      </c>
      <c r="Y405" s="2" t="str">
        <f t="shared" si="9"/>
        <v/>
      </c>
      <c r="Z405" s="2" t="str">
        <f t="shared" si="10"/>
        <v/>
      </c>
      <c r="AA405" s="2">
        <f t="shared" si="11"/>
        <v>0</v>
      </c>
      <c r="AB405" s="2">
        <f t="shared" si="12"/>
        <v>0</v>
      </c>
      <c r="AC405" s="2" t="str">
        <f>VLOOKUP(A405,Regions!$A$2:$B$233,2)</f>
        <v>Middle East &amp; North Africa</v>
      </c>
    </row>
    <row r="406">
      <c r="A406" s="1" t="s">
        <v>232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2">
        <f t="shared" si="1"/>
        <v>5</v>
      </c>
      <c r="R406" s="2">
        <f t="shared" si="2"/>
        <v>1.122583902</v>
      </c>
      <c r="S406" s="2">
        <f t="shared" si="3"/>
        <v>1.418283428</v>
      </c>
      <c r="T406" s="2">
        <f t="shared" si="4"/>
        <v>0.204333694</v>
      </c>
      <c r="U406" s="2">
        <f t="shared" si="5"/>
        <v>76</v>
      </c>
      <c r="V406" s="2">
        <f t="shared" si="6"/>
        <v>70</v>
      </c>
      <c r="W406" s="2">
        <f t="shared" si="7"/>
        <v>95</v>
      </c>
      <c r="X406" s="2" t="str">
        <f t="shared" si="8"/>
        <v/>
      </c>
      <c r="Y406" s="2" t="str">
        <f t="shared" si="9"/>
        <v/>
      </c>
      <c r="Z406" s="2" t="str">
        <f t="shared" si="10"/>
        <v/>
      </c>
      <c r="AA406" s="2">
        <f t="shared" si="11"/>
        <v>1.213949734</v>
      </c>
      <c r="AB406" s="2">
        <f t="shared" si="12"/>
        <v>1.213949734</v>
      </c>
      <c r="AC406" s="2" t="str">
        <f>VLOOKUP(A406,Regions!$A$2:$B$233,2)</f>
        <v>Europe &amp; Central Asia</v>
      </c>
    </row>
    <row r="407">
      <c r="A407" s="1" t="s">
        <v>232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Q407" s="2" t="str">
        <f t="shared" si="1"/>
        <v/>
      </c>
      <c r="R407" s="2" t="str">
        <f t="shared" si="2"/>
        <v/>
      </c>
      <c r="S407" s="2" t="str">
        <f t="shared" si="3"/>
        <v/>
      </c>
      <c r="T407" s="2" t="str">
        <f t="shared" si="4"/>
        <v/>
      </c>
      <c r="U407" s="2">
        <f t="shared" si="5"/>
        <v>82</v>
      </c>
      <c r="V407" s="2">
        <f t="shared" si="6"/>
        <v>77</v>
      </c>
      <c r="W407" s="2">
        <f t="shared" si="7"/>
        <v>96</v>
      </c>
      <c r="X407" s="2" t="str">
        <f t="shared" si="8"/>
        <v/>
      </c>
      <c r="Y407" s="2" t="str">
        <f t="shared" si="9"/>
        <v/>
      </c>
      <c r="Z407" s="2" t="str">
        <f t="shared" si="10"/>
        <v/>
      </c>
      <c r="AA407" s="2">
        <f t="shared" si="11"/>
        <v>0</v>
      </c>
      <c r="AB407" s="2">
        <f t="shared" si="12"/>
        <v>0</v>
      </c>
      <c r="AC407" s="2" t="str">
        <f>VLOOKUP(A407,Regions!$A$2:$B$233,2)</f>
        <v>Europe &amp; Central Asia</v>
      </c>
    </row>
    <row r="408">
      <c r="A408" s="1" t="s">
        <v>233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2">
        <f t="shared" si="1"/>
        <v>5</v>
      </c>
      <c r="R408" s="2">
        <f t="shared" si="2"/>
        <v>0.148165884</v>
      </c>
      <c r="S408" s="2">
        <f t="shared" si="3"/>
        <v>0.224096658</v>
      </c>
      <c r="T408" s="2">
        <f t="shared" si="4"/>
        <v>0.064892632</v>
      </c>
      <c r="U408" s="2">
        <f t="shared" si="5"/>
        <v>99</v>
      </c>
      <c r="V408" s="2">
        <f t="shared" si="6"/>
        <v>99</v>
      </c>
      <c r="W408" s="2">
        <f t="shared" si="7"/>
        <v>100</v>
      </c>
      <c r="X408" s="2" t="str">
        <f t="shared" si="8"/>
        <v/>
      </c>
      <c r="Y408" s="2" t="str">
        <f t="shared" si="9"/>
        <v/>
      </c>
      <c r="Z408" s="2" t="str">
        <f t="shared" si="10"/>
        <v>full access</v>
      </c>
      <c r="AA408" s="2">
        <f t="shared" si="11"/>
        <v>0.159204026</v>
      </c>
      <c r="AB408" s="2">
        <f t="shared" si="12"/>
        <v>0.159204026</v>
      </c>
      <c r="AC408" s="2" t="str">
        <f>VLOOKUP(A408,Regions!$A$2:$B$233,2)</f>
        <v>East Asia &amp; Pacific</v>
      </c>
    </row>
    <row r="409">
      <c r="A409" s="1" t="s">
        <v>233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Q409" s="2" t="str">
        <f t="shared" si="1"/>
        <v/>
      </c>
      <c r="R409" s="2" t="str">
        <f t="shared" si="2"/>
        <v/>
      </c>
      <c r="S409" s="2" t="str">
        <f t="shared" si="3"/>
        <v/>
      </c>
      <c r="T409" s="2" t="str">
        <f t="shared" si="4"/>
        <v/>
      </c>
      <c r="U409" s="2">
        <f t="shared" si="5"/>
        <v>100</v>
      </c>
      <c r="V409" s="2">
        <f t="shared" si="6"/>
        <v>100</v>
      </c>
      <c r="W409" s="2">
        <f t="shared" si="7"/>
        <v>100</v>
      </c>
      <c r="X409" s="2" t="str">
        <f t="shared" si="8"/>
        <v/>
      </c>
      <c r="Y409" s="2" t="str">
        <f t="shared" si="9"/>
        <v/>
      </c>
      <c r="Z409" s="2" t="str">
        <f t="shared" si="10"/>
        <v/>
      </c>
      <c r="AA409" s="2">
        <f t="shared" si="11"/>
        <v>0</v>
      </c>
      <c r="AB409" s="2">
        <f t="shared" si="12"/>
        <v>0</v>
      </c>
      <c r="AC409" s="2" t="str">
        <f>VLOOKUP(A409,Regions!$A$2:$B$233,2)</f>
        <v>East Asia &amp; Pacific</v>
      </c>
    </row>
    <row r="410">
      <c r="A410" s="1" t="s">
        <v>234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2">
        <f t="shared" si="1"/>
        <v>5</v>
      </c>
      <c r="R410" s="2">
        <f t="shared" si="2"/>
        <v>2.049099498</v>
      </c>
      <c r="S410" s="2">
        <f t="shared" si="3"/>
        <v>2.305681174</v>
      </c>
      <c r="T410" s="2">
        <f t="shared" si="4"/>
        <v>1.237175338</v>
      </c>
      <c r="U410" s="2">
        <f t="shared" si="5"/>
        <v>75</v>
      </c>
      <c r="V410" s="2">
        <f t="shared" si="6"/>
        <v>69</v>
      </c>
      <c r="W410" s="2">
        <f t="shared" si="7"/>
        <v>90</v>
      </c>
      <c r="X410" s="2" t="str">
        <f t="shared" si="8"/>
        <v/>
      </c>
      <c r="Y410" s="2" t="str">
        <f t="shared" si="9"/>
        <v/>
      </c>
      <c r="Z410" s="2" t="str">
        <f t="shared" si="10"/>
        <v/>
      </c>
      <c r="AA410" s="2">
        <f t="shared" si="11"/>
        <v>1.068505836</v>
      </c>
      <c r="AB410" s="2">
        <f t="shared" si="12"/>
        <v>1.068505836</v>
      </c>
      <c r="AC410" s="2" t="str">
        <f>VLOOKUP(A410,Regions!$A$2:$B$233,2)</f>
        <v>East Asia &amp; Pacific</v>
      </c>
    </row>
    <row r="411">
      <c r="A411" s="1" t="s">
        <v>234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Q411" s="2" t="str">
        <f t="shared" si="1"/>
        <v/>
      </c>
      <c r="R411" s="2" t="str">
        <f t="shared" si="2"/>
        <v/>
      </c>
      <c r="S411" s="2" t="str">
        <f t="shared" si="3"/>
        <v/>
      </c>
      <c r="T411" s="2" t="str">
        <f t="shared" si="4"/>
        <v/>
      </c>
      <c r="U411" s="2">
        <f t="shared" si="5"/>
        <v>85</v>
      </c>
      <c r="V411" s="2">
        <f t="shared" si="6"/>
        <v>80</v>
      </c>
      <c r="W411" s="2">
        <f t="shared" si="7"/>
        <v>96</v>
      </c>
      <c r="X411" s="2" t="str">
        <f t="shared" si="8"/>
        <v/>
      </c>
      <c r="Y411" s="2" t="str">
        <f t="shared" si="9"/>
        <v/>
      </c>
      <c r="Z411" s="2" t="str">
        <f t="shared" si="10"/>
        <v/>
      </c>
      <c r="AA411" s="2">
        <f t="shared" si="11"/>
        <v>0</v>
      </c>
      <c r="AB411" s="2">
        <f t="shared" si="12"/>
        <v>0</v>
      </c>
      <c r="AC411" s="2" t="str">
        <f>VLOOKUP(A411,Regions!$A$2:$B$233,2)</f>
        <v>East Asia &amp; Pacific</v>
      </c>
    </row>
    <row r="412">
      <c r="A412" s="1" t="s">
        <v>235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2">
        <f t="shared" si="1"/>
        <v>5</v>
      </c>
      <c r="R412" s="2">
        <f t="shared" si="2"/>
        <v>0.989318748</v>
      </c>
      <c r="S412" s="2">
        <f t="shared" si="3"/>
        <v>0.975073894</v>
      </c>
      <c r="T412" s="2">
        <f t="shared" si="4"/>
        <v>0.492516062</v>
      </c>
      <c r="U412" s="2">
        <f t="shared" si="5"/>
        <v>64</v>
      </c>
      <c r="V412" s="2">
        <f t="shared" si="6"/>
        <v>47</v>
      </c>
      <c r="W412" s="2">
        <f t="shared" si="7"/>
        <v>88</v>
      </c>
      <c r="X412" s="2" t="str">
        <f t="shared" si="8"/>
        <v/>
      </c>
      <c r="Y412" s="2" t="str">
        <f t="shared" si="9"/>
        <v/>
      </c>
      <c r="Z412" s="2" t="str">
        <f t="shared" si="10"/>
        <v/>
      </c>
      <c r="AA412" s="2">
        <f t="shared" si="11"/>
        <v>0.482557832</v>
      </c>
      <c r="AB412" s="2">
        <f t="shared" si="12"/>
        <v>0.482557832</v>
      </c>
      <c r="AC412" s="2" t="str">
        <f>VLOOKUP(A412,Regions!$A$2:$B$233,2)</f>
        <v>Sub-Saharan Africa</v>
      </c>
    </row>
    <row r="413">
      <c r="A413" s="1" t="s">
        <v>235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Q413" s="2" t="str">
        <f t="shared" si="1"/>
        <v/>
      </c>
      <c r="R413" s="2" t="str">
        <f t="shared" si="2"/>
        <v/>
      </c>
      <c r="S413" s="2" t="str">
        <f t="shared" si="3"/>
        <v/>
      </c>
      <c r="T413" s="2" t="str">
        <f t="shared" si="4"/>
        <v/>
      </c>
      <c r="U413" s="2">
        <f t="shared" si="5"/>
        <v>69</v>
      </c>
      <c r="V413" s="2">
        <f t="shared" si="6"/>
        <v>52</v>
      </c>
      <c r="W413" s="2">
        <f t="shared" si="7"/>
        <v>91</v>
      </c>
      <c r="X413" s="2" t="str">
        <f t="shared" si="8"/>
        <v/>
      </c>
      <c r="Y413" s="2" t="str">
        <f t="shared" si="9"/>
        <v/>
      </c>
      <c r="Z413" s="2" t="str">
        <f t="shared" si="10"/>
        <v/>
      </c>
      <c r="AA413" s="2">
        <f t="shared" si="11"/>
        <v>0</v>
      </c>
      <c r="AB413" s="2">
        <f t="shared" si="12"/>
        <v>0</v>
      </c>
      <c r="AC413" s="2" t="str">
        <f>VLOOKUP(A413,Regions!$A$2:$B$233,2)</f>
        <v>Sub-Saharan Africa</v>
      </c>
    </row>
    <row r="414">
      <c r="A414" s="1" t="s">
        <v>236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33</v>
      </c>
      <c r="N414" s="1" t="s">
        <v>33</v>
      </c>
      <c r="O414" s="1" t="s">
        <v>33</v>
      </c>
      <c r="P414" s="1" t="s">
        <v>33</v>
      </c>
      <c r="Q414" s="2">
        <f t="shared" si="1"/>
        <v>5</v>
      </c>
      <c r="R414" s="2">
        <f t="shared" si="2"/>
        <v>0.05005613</v>
      </c>
      <c r="S414" s="2">
        <f t="shared" si="3"/>
        <v>0.05005613</v>
      </c>
      <c r="T414" s="2" t="str">
        <f t="shared" si="4"/>
        <v>null</v>
      </c>
      <c r="U414" s="2">
        <f t="shared" si="5"/>
        <v>99</v>
      </c>
      <c r="V414" s="2">
        <f t="shared" si="6"/>
        <v>99</v>
      </c>
      <c r="W414" s="2" t="str">
        <f t="shared" si="7"/>
        <v>null</v>
      </c>
      <c r="X414" s="2" t="str">
        <f t="shared" si="8"/>
        <v/>
      </c>
      <c r="Y414" s="2" t="str">
        <f t="shared" si="9"/>
        <v/>
      </c>
      <c r="Z414" s="2" t="str">
        <f t="shared" si="10"/>
        <v/>
      </c>
      <c r="AA414" s="2" t="str">
        <f t="shared" si="11"/>
        <v>null</v>
      </c>
      <c r="AB414" s="2" t="str">
        <f t="shared" si="12"/>
        <v>null</v>
      </c>
      <c r="AC414" s="2" t="str">
        <f>VLOOKUP(A414,Regions!$A$2:$B$233,2)</f>
        <v>East Asia &amp; Pacific</v>
      </c>
    </row>
    <row r="415">
      <c r="A415" s="1" t="s">
        <v>236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33</v>
      </c>
      <c r="N415" s="1" t="s">
        <v>33</v>
      </c>
      <c r="O415" s="1" t="s">
        <v>33</v>
      </c>
      <c r="P415" s="1" t="s">
        <v>33</v>
      </c>
      <c r="Q415" s="2" t="str">
        <f t="shared" si="1"/>
        <v/>
      </c>
      <c r="R415" s="2" t="str">
        <f t="shared" si="2"/>
        <v/>
      </c>
      <c r="S415" s="2" t="str">
        <f t="shared" si="3"/>
        <v/>
      </c>
      <c r="T415" s="2" t="str">
        <f t="shared" si="4"/>
        <v/>
      </c>
      <c r="U415" s="2">
        <f t="shared" si="5"/>
        <v>100</v>
      </c>
      <c r="V415" s="2">
        <f t="shared" si="6"/>
        <v>100</v>
      </c>
      <c r="W415" s="2" t="str">
        <f t="shared" si="7"/>
        <v>null</v>
      </c>
      <c r="X415" s="2" t="str">
        <f t="shared" si="8"/>
        <v/>
      </c>
      <c r="Y415" s="2" t="str">
        <f t="shared" si="9"/>
        <v/>
      </c>
      <c r="Z415" s="2" t="str">
        <f t="shared" si="10"/>
        <v/>
      </c>
      <c r="AA415" s="2">
        <f t="shared" si="11"/>
        <v>0</v>
      </c>
      <c r="AB415" s="2">
        <f t="shared" si="12"/>
        <v>0</v>
      </c>
      <c r="AC415" s="2" t="str">
        <f>VLOOKUP(A415,Regions!$A$2:$B$233,2)</f>
        <v>East Asia &amp; Pacific</v>
      </c>
    </row>
    <row r="416">
      <c r="A416" s="1" t="s">
        <v>237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2">
        <f t="shared" si="1"/>
        <v>5</v>
      </c>
      <c r="R416" s="2">
        <f t="shared" si="2"/>
        <v>0.036275096</v>
      </c>
      <c r="S416" s="2">
        <f t="shared" si="3"/>
        <v>0.015006062</v>
      </c>
      <c r="T416" s="2">
        <f t="shared" si="4"/>
        <v>0.108109526</v>
      </c>
      <c r="U416" s="2">
        <f t="shared" si="5"/>
        <v>99</v>
      </c>
      <c r="V416" s="2">
        <f t="shared" si="6"/>
        <v>98</v>
      </c>
      <c r="W416" s="2">
        <f t="shared" si="7"/>
        <v>99</v>
      </c>
      <c r="X416" s="2" t="str">
        <f t="shared" si="8"/>
        <v/>
      </c>
      <c r="Y416" s="2" t="str">
        <f t="shared" si="9"/>
        <v/>
      </c>
      <c r="Z416" s="2" t="str">
        <f t="shared" si="10"/>
        <v/>
      </c>
      <c r="AA416" s="2">
        <f t="shared" si="11"/>
        <v>-0.093103464</v>
      </c>
      <c r="AB416" s="2">
        <f t="shared" si="12"/>
        <v>0.093103464</v>
      </c>
      <c r="AC416" s="2" t="str">
        <f>VLOOKUP(A416,Regions!$A$2:$B$233,2)</f>
        <v>East Asia &amp; Pacific</v>
      </c>
    </row>
    <row r="417">
      <c r="A417" s="1" t="s">
        <v>237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Q417" s="2" t="str">
        <f t="shared" si="1"/>
        <v/>
      </c>
      <c r="R417" s="2" t="str">
        <f t="shared" si="2"/>
        <v/>
      </c>
      <c r="S417" s="2" t="str">
        <f t="shared" si="3"/>
        <v/>
      </c>
      <c r="T417" s="2" t="str">
        <f t="shared" si="4"/>
        <v/>
      </c>
      <c r="U417" s="2">
        <f t="shared" si="5"/>
        <v>99</v>
      </c>
      <c r="V417" s="2">
        <f t="shared" si="6"/>
        <v>98</v>
      </c>
      <c r="W417" s="2">
        <f t="shared" si="7"/>
        <v>100</v>
      </c>
      <c r="X417" s="2" t="str">
        <f t="shared" si="8"/>
        <v/>
      </c>
      <c r="Y417" s="2" t="str">
        <f t="shared" si="9"/>
        <v/>
      </c>
      <c r="Z417" s="2" t="str">
        <f t="shared" si="10"/>
        <v/>
      </c>
      <c r="AA417" s="2">
        <f t="shared" si="11"/>
        <v>0</v>
      </c>
      <c r="AB417" s="2">
        <f t="shared" si="12"/>
        <v>0</v>
      </c>
      <c r="AC417" s="2" t="str">
        <f>VLOOKUP(A417,Regions!$A$2:$B$233,2)</f>
        <v>East Asia &amp; Pacific</v>
      </c>
    </row>
    <row r="418">
      <c r="A418" s="1" t="s">
        <v>238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33</v>
      </c>
      <c r="J418" s="1" t="s">
        <v>33</v>
      </c>
      <c r="K418" s="1" t="s">
        <v>33</v>
      </c>
      <c r="L418" s="1" t="s">
        <v>33</v>
      </c>
      <c r="M418" s="1" t="s">
        <v>33</v>
      </c>
      <c r="N418" s="1" t="s">
        <v>33</v>
      </c>
      <c r="O418" s="1" t="s">
        <v>33</v>
      </c>
      <c r="P418" s="1" t="s">
        <v>33</v>
      </c>
      <c r="Q418" s="2">
        <f t="shared" si="1"/>
        <v>5</v>
      </c>
      <c r="R418" s="2">
        <f t="shared" si="2"/>
        <v>0.147798624</v>
      </c>
      <c r="S418" s="2" t="str">
        <f t="shared" si="3"/>
        <v>null</v>
      </c>
      <c r="T418" s="2" t="str">
        <f t="shared" si="4"/>
        <v>null</v>
      </c>
      <c r="U418" s="2">
        <f t="shared" si="5"/>
        <v>98</v>
      </c>
      <c r="V418" s="2" t="str">
        <f t="shared" si="6"/>
        <v>null</v>
      </c>
      <c r="W418" s="2" t="str">
        <f t="shared" si="7"/>
        <v>null</v>
      </c>
      <c r="X418" s="2" t="str">
        <f t="shared" si="8"/>
        <v/>
      </c>
      <c r="Y418" s="2" t="str">
        <f t="shared" si="9"/>
        <v/>
      </c>
      <c r="Z418" s="2" t="str">
        <f t="shared" si="10"/>
        <v/>
      </c>
      <c r="AA418" s="2" t="str">
        <f t="shared" si="11"/>
        <v>null</v>
      </c>
      <c r="AB418" s="2" t="str">
        <f t="shared" si="12"/>
        <v>null</v>
      </c>
      <c r="AC418" s="2" t="str">
        <f>VLOOKUP(A418,Regions!$A$2:$B$233,2)</f>
        <v>Latin America &amp; Caribbean</v>
      </c>
    </row>
    <row r="419">
      <c r="A419" s="1" t="s">
        <v>238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33</v>
      </c>
      <c r="J419" s="1" t="s">
        <v>33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33</v>
      </c>
      <c r="Q419" s="2" t="str">
        <f t="shared" si="1"/>
        <v/>
      </c>
      <c r="R419" s="2" t="str">
        <f t="shared" si="2"/>
        <v/>
      </c>
      <c r="S419" s="2" t="str">
        <f t="shared" si="3"/>
        <v/>
      </c>
      <c r="T419" s="2" t="str">
        <f t="shared" si="4"/>
        <v/>
      </c>
      <c r="U419" s="2">
        <f t="shared" si="5"/>
        <v>99</v>
      </c>
      <c r="V419" s="2" t="str">
        <f t="shared" si="6"/>
        <v>null</v>
      </c>
      <c r="W419" s="2" t="str">
        <f t="shared" si="7"/>
        <v>null</v>
      </c>
      <c r="X419" s="2" t="str">
        <f t="shared" si="8"/>
        <v/>
      </c>
      <c r="Y419" s="2" t="str">
        <f t="shared" si="9"/>
        <v/>
      </c>
      <c r="Z419" s="2" t="str">
        <f t="shared" si="10"/>
        <v/>
      </c>
      <c r="AA419" s="2">
        <f t="shared" si="11"/>
        <v>0</v>
      </c>
      <c r="AB419" s="2">
        <f t="shared" si="12"/>
        <v>0</v>
      </c>
      <c r="AC419" s="2" t="str">
        <f>VLOOKUP(A419,Regions!$A$2:$B$233,2)</f>
        <v>Latin America &amp; Caribbean</v>
      </c>
    </row>
    <row r="420">
      <c r="A420" s="1" t="s">
        <v>239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2">
        <f t="shared" si="1"/>
        <v>5</v>
      </c>
      <c r="R420" s="2">
        <f t="shared" si="2"/>
        <v>0.539570778</v>
      </c>
      <c r="S420" s="2">
        <f t="shared" si="3"/>
        <v>1.669111792</v>
      </c>
      <c r="T420" s="2">
        <f t="shared" si="4"/>
        <v>-0.013650062</v>
      </c>
      <c r="U420" s="2">
        <f t="shared" si="5"/>
        <v>95</v>
      </c>
      <c r="V420" s="2">
        <f t="shared" si="6"/>
        <v>86</v>
      </c>
      <c r="W420" s="2">
        <f t="shared" si="7"/>
        <v>99</v>
      </c>
      <c r="X420" s="2" t="str">
        <f t="shared" si="8"/>
        <v/>
      </c>
      <c r="Y420" s="2" t="str">
        <f t="shared" si="9"/>
        <v/>
      </c>
      <c r="Z420" s="2" t="str">
        <f t="shared" si="10"/>
        <v/>
      </c>
      <c r="AA420" s="2">
        <f t="shared" si="11"/>
        <v>1.682761854</v>
      </c>
      <c r="AB420" s="2">
        <f t="shared" si="12"/>
        <v>1.682761854</v>
      </c>
      <c r="AC420" s="2" t="str">
        <f>VLOOKUP(A420,Regions!$A$2:$B$233,2)</f>
        <v>Sub-Saharan Africa</v>
      </c>
    </row>
    <row r="421">
      <c r="A421" s="1" t="s">
        <v>239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Q421" s="2" t="str">
        <f t="shared" si="1"/>
        <v/>
      </c>
      <c r="R421" s="2" t="str">
        <f t="shared" si="2"/>
        <v/>
      </c>
      <c r="S421" s="2" t="str">
        <f t="shared" si="3"/>
        <v/>
      </c>
      <c r="T421" s="2" t="str">
        <f t="shared" si="4"/>
        <v/>
      </c>
      <c r="U421" s="2">
        <f t="shared" si="5"/>
        <v>98</v>
      </c>
      <c r="V421" s="2">
        <f t="shared" si="6"/>
        <v>94</v>
      </c>
      <c r="W421" s="2">
        <f t="shared" si="7"/>
        <v>99</v>
      </c>
      <c r="X421" s="2" t="str">
        <f t="shared" si="8"/>
        <v/>
      </c>
      <c r="Y421" s="2" t="str">
        <f t="shared" si="9"/>
        <v/>
      </c>
      <c r="Z421" s="2" t="str">
        <f t="shared" si="10"/>
        <v/>
      </c>
      <c r="AA421" s="2">
        <f t="shared" si="11"/>
        <v>0</v>
      </c>
      <c r="AB421" s="2">
        <f t="shared" si="12"/>
        <v>0</v>
      </c>
      <c r="AC421" s="2" t="str">
        <f>VLOOKUP(A421,Regions!$A$2:$B$233,2)</f>
        <v>Sub-Saharan Africa</v>
      </c>
    </row>
    <row r="422">
      <c r="A422" s="1" t="s">
        <v>240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2">
        <f t="shared" si="1"/>
        <v>5</v>
      </c>
      <c r="R422" s="2">
        <f t="shared" si="2"/>
        <v>0.151622008</v>
      </c>
      <c r="S422" s="2">
        <f t="shared" si="3"/>
        <v>0.364257356</v>
      </c>
      <c r="T422" s="2">
        <f t="shared" si="4"/>
        <v>0.066586558</v>
      </c>
      <c r="U422" s="2">
        <f t="shared" si="5"/>
        <v>96</v>
      </c>
      <c r="V422" s="2">
        <f t="shared" si="6"/>
        <v>94</v>
      </c>
      <c r="W422" s="2">
        <f t="shared" si="7"/>
        <v>97</v>
      </c>
      <c r="X422" s="2" t="str">
        <f t="shared" si="8"/>
        <v/>
      </c>
      <c r="Y422" s="2" t="str">
        <f t="shared" si="9"/>
        <v/>
      </c>
      <c r="Z422" s="2" t="str">
        <f t="shared" si="10"/>
        <v/>
      </c>
      <c r="AA422" s="2">
        <f t="shared" si="11"/>
        <v>0.297670798</v>
      </c>
      <c r="AB422" s="2">
        <f t="shared" si="12"/>
        <v>0.297670798</v>
      </c>
      <c r="AC422" s="2" t="str">
        <f>VLOOKUP(A422,Regions!$A$2:$B$233,2)</f>
        <v>Europe &amp; Central Asia</v>
      </c>
    </row>
    <row r="423">
      <c r="A423" s="1" t="s">
        <v>240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Q423" s="2" t="str">
        <f t="shared" si="1"/>
        <v/>
      </c>
      <c r="R423" s="2" t="str">
        <f t="shared" si="2"/>
        <v/>
      </c>
      <c r="S423" s="2" t="str">
        <f t="shared" si="3"/>
        <v/>
      </c>
      <c r="T423" s="2" t="str">
        <f t="shared" si="4"/>
        <v/>
      </c>
      <c r="U423" s="2">
        <f t="shared" si="5"/>
        <v>97</v>
      </c>
      <c r="V423" s="2">
        <f t="shared" si="6"/>
        <v>96</v>
      </c>
      <c r="W423" s="2">
        <f t="shared" si="7"/>
        <v>97</v>
      </c>
      <c r="X423" s="2" t="str">
        <f t="shared" si="8"/>
        <v/>
      </c>
      <c r="Y423" s="2" t="str">
        <f t="shared" si="9"/>
        <v/>
      </c>
      <c r="Z423" s="2" t="str">
        <f t="shared" si="10"/>
        <v/>
      </c>
      <c r="AA423" s="2">
        <f t="shared" si="11"/>
        <v>0</v>
      </c>
      <c r="AB423" s="2">
        <f t="shared" si="12"/>
        <v>0</v>
      </c>
      <c r="AC423" s="2" t="str">
        <f>VLOOKUP(A423,Regions!$A$2:$B$233,2)</f>
        <v>Europe &amp; Central Asia</v>
      </c>
    </row>
    <row r="424">
      <c r="A424" s="1" t="s">
        <v>241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2">
        <f t="shared" si="1"/>
        <v>5</v>
      </c>
      <c r="R424" s="2">
        <f t="shared" si="2"/>
        <v>0.468211138</v>
      </c>
      <c r="S424" s="2">
        <f t="shared" si="3"/>
        <v>0.756043368</v>
      </c>
      <c r="T424" s="2">
        <f t="shared" si="4"/>
        <v>0.184005656</v>
      </c>
      <c r="U424" s="2">
        <f t="shared" si="5"/>
        <v>98</v>
      </c>
      <c r="V424" s="2">
        <f t="shared" si="6"/>
        <v>96</v>
      </c>
      <c r="W424" s="2">
        <f t="shared" si="7"/>
        <v>99</v>
      </c>
      <c r="X424" s="2" t="str">
        <f t="shared" si="8"/>
        <v/>
      </c>
      <c r="Y424" s="2" t="str">
        <f t="shared" si="9"/>
        <v/>
      </c>
      <c r="Z424" s="2" t="str">
        <f t="shared" si="10"/>
        <v/>
      </c>
      <c r="AA424" s="2">
        <f t="shared" si="11"/>
        <v>0.572037712</v>
      </c>
      <c r="AB424" s="2">
        <f t="shared" si="12"/>
        <v>0.572037712</v>
      </c>
      <c r="AC424" s="2" t="str">
        <f>VLOOKUP(A424,Regions!$A$2:$B$233,2)</f>
        <v>Europe &amp; Central Asia</v>
      </c>
    </row>
    <row r="425">
      <c r="A425" s="1" t="s">
        <v>241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Q425" s="2" t="str">
        <f t="shared" si="1"/>
        <v/>
      </c>
      <c r="R425" s="2" t="str">
        <f t="shared" si="2"/>
        <v/>
      </c>
      <c r="S425" s="2" t="str">
        <f t="shared" si="3"/>
        <v/>
      </c>
      <c r="T425" s="2" t="str">
        <f t="shared" si="4"/>
        <v/>
      </c>
      <c r="U425" s="2">
        <f t="shared" si="5"/>
        <v>100</v>
      </c>
      <c r="V425" s="2">
        <f t="shared" si="6"/>
        <v>100</v>
      </c>
      <c r="W425" s="2">
        <f t="shared" si="7"/>
        <v>100</v>
      </c>
      <c r="X425" s="2" t="str">
        <f t="shared" si="8"/>
        <v/>
      </c>
      <c r="Y425" s="2" t="str">
        <f t="shared" si="9"/>
        <v/>
      </c>
      <c r="Z425" s="2" t="str">
        <f t="shared" si="10"/>
        <v/>
      </c>
      <c r="AA425" s="2">
        <f t="shared" si="11"/>
        <v>0</v>
      </c>
      <c r="AB425" s="2">
        <f t="shared" si="12"/>
        <v>0</v>
      </c>
      <c r="AC425" s="2" t="str">
        <f>VLOOKUP(A425,Regions!$A$2:$B$233,2)</f>
        <v>Europe &amp; Central Asia</v>
      </c>
    </row>
    <row r="426">
      <c r="A426" s="1" t="s">
        <v>242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33</v>
      </c>
      <c r="J426" s="1" t="s">
        <v>33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33</v>
      </c>
      <c r="Q426" s="2">
        <f t="shared" si="1"/>
        <v>3</v>
      </c>
      <c r="R426" s="2">
        <f t="shared" si="2"/>
        <v>0</v>
      </c>
      <c r="S426" s="2" t="str">
        <f t="shared" si="3"/>
        <v>null</v>
      </c>
      <c r="T426" s="2" t="str">
        <f t="shared" si="4"/>
        <v>null</v>
      </c>
      <c r="U426" s="2">
        <f t="shared" si="5"/>
        <v>94</v>
      </c>
      <c r="V426" s="2" t="str">
        <f t="shared" si="6"/>
        <v>null</v>
      </c>
      <c r="W426" s="2" t="str">
        <f t="shared" si="7"/>
        <v>null</v>
      </c>
      <c r="X426" s="2" t="str">
        <f t="shared" si="8"/>
        <v/>
      </c>
      <c r="Y426" s="2" t="str">
        <f t="shared" si="9"/>
        <v/>
      </c>
      <c r="Z426" s="2" t="str">
        <f t="shared" si="10"/>
        <v/>
      </c>
      <c r="AA426" s="2" t="str">
        <f t="shared" si="11"/>
        <v>null</v>
      </c>
      <c r="AB426" s="2" t="str">
        <f t="shared" si="12"/>
        <v>null</v>
      </c>
      <c r="AC426" s="2" t="str">
        <f>VLOOKUP(A426,Regions!$A$2:$B$233,2)</f>
        <v>Latin America &amp; Caribbean</v>
      </c>
    </row>
    <row r="427">
      <c r="A427" s="1" t="s">
        <v>242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33</v>
      </c>
      <c r="J427" s="1" t="s">
        <v>33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33</v>
      </c>
      <c r="Q427" s="2" t="str">
        <f t="shared" si="1"/>
        <v/>
      </c>
      <c r="R427" s="2" t="str">
        <f t="shared" si="2"/>
        <v/>
      </c>
      <c r="S427" s="2" t="str">
        <f t="shared" si="3"/>
        <v/>
      </c>
      <c r="T427" s="2" t="str">
        <f t="shared" si="4"/>
        <v/>
      </c>
      <c r="U427" s="2">
        <f t="shared" si="5"/>
        <v>94</v>
      </c>
      <c r="V427" s="2" t="str">
        <f t="shared" si="6"/>
        <v>null</v>
      </c>
      <c r="W427" s="2" t="str">
        <f t="shared" si="7"/>
        <v>null</v>
      </c>
      <c r="X427" s="2" t="str">
        <f t="shared" si="8"/>
        <v/>
      </c>
      <c r="Y427" s="2" t="str">
        <f t="shared" si="9"/>
        <v/>
      </c>
      <c r="Z427" s="2" t="str">
        <f t="shared" si="10"/>
        <v/>
      </c>
      <c r="AA427" s="2">
        <f t="shared" si="11"/>
        <v>0</v>
      </c>
      <c r="AB427" s="2">
        <f t="shared" si="12"/>
        <v>0</v>
      </c>
      <c r="AC427" s="2" t="str">
        <f>VLOOKUP(A427,Regions!$A$2:$B$233,2)</f>
        <v>Latin America &amp; Caribbean</v>
      </c>
    </row>
    <row r="428">
      <c r="A428" s="1" t="s">
        <v>243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2">
        <f t="shared" si="1"/>
        <v>5</v>
      </c>
      <c r="R428" s="2">
        <f t="shared" si="2"/>
        <v>0</v>
      </c>
      <c r="S428" s="2">
        <f t="shared" si="3"/>
        <v>0</v>
      </c>
      <c r="T428" s="2">
        <f t="shared" si="4"/>
        <v>0</v>
      </c>
      <c r="U428" s="2">
        <f t="shared" si="5"/>
        <v>100</v>
      </c>
      <c r="V428" s="2">
        <f t="shared" si="6"/>
        <v>100</v>
      </c>
      <c r="W428" s="2">
        <f t="shared" si="7"/>
        <v>100</v>
      </c>
      <c r="X428" s="2" t="str">
        <f t="shared" si="8"/>
        <v>full access</v>
      </c>
      <c r="Y428" s="2" t="str">
        <f t="shared" si="9"/>
        <v>full access</v>
      </c>
      <c r="Z428" s="2" t="str">
        <f t="shared" si="10"/>
        <v>full access</v>
      </c>
      <c r="AA428" s="2">
        <f t="shared" si="11"/>
        <v>0</v>
      </c>
      <c r="AB428" s="2">
        <f t="shared" si="12"/>
        <v>0</v>
      </c>
      <c r="AC428" s="2" t="str">
        <f>VLOOKUP(A428,Regions!$A$2:$B$233,2)</f>
        <v>East Asia &amp; Pacific</v>
      </c>
    </row>
    <row r="429">
      <c r="A429" s="1" t="s">
        <v>243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Q429" s="2" t="str">
        <f t="shared" si="1"/>
        <v/>
      </c>
      <c r="R429" s="2" t="str">
        <f t="shared" si="2"/>
        <v/>
      </c>
      <c r="S429" s="2" t="str">
        <f t="shared" si="3"/>
        <v/>
      </c>
      <c r="T429" s="2" t="str">
        <f t="shared" si="4"/>
        <v/>
      </c>
      <c r="U429" s="2">
        <f t="shared" si="5"/>
        <v>100</v>
      </c>
      <c r="V429" s="2">
        <f t="shared" si="6"/>
        <v>100</v>
      </c>
      <c r="W429" s="2">
        <f t="shared" si="7"/>
        <v>100</v>
      </c>
      <c r="X429" s="2" t="str">
        <f t="shared" si="8"/>
        <v/>
      </c>
      <c r="Y429" s="2" t="str">
        <f t="shared" si="9"/>
        <v/>
      </c>
      <c r="Z429" s="2" t="str">
        <f t="shared" si="10"/>
        <v/>
      </c>
      <c r="AA429" s="2">
        <f t="shared" si="11"/>
        <v>0</v>
      </c>
      <c r="AB429" s="2">
        <f t="shared" si="12"/>
        <v>0</v>
      </c>
      <c r="AC429" s="2" t="str">
        <f>VLOOKUP(A429,Regions!$A$2:$B$233,2)</f>
        <v>East Asia &amp; Pacific</v>
      </c>
    </row>
    <row r="430">
      <c r="A430" s="1" t="s">
        <v>244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2">
        <f t="shared" si="1"/>
        <v>5</v>
      </c>
      <c r="R430" s="2">
        <f t="shared" si="2"/>
        <v>1.60269817</v>
      </c>
      <c r="S430" s="2">
        <f t="shared" si="3"/>
        <v>1.70283729</v>
      </c>
      <c r="T430" s="2">
        <f t="shared" si="4"/>
        <v>0.447299142</v>
      </c>
      <c r="U430" s="2">
        <f t="shared" si="5"/>
        <v>48</v>
      </c>
      <c r="V430" s="2">
        <f t="shared" si="6"/>
        <v>40</v>
      </c>
      <c r="W430" s="2">
        <f t="shared" si="7"/>
        <v>77</v>
      </c>
      <c r="X430" s="2" t="str">
        <f t="shared" si="8"/>
        <v/>
      </c>
      <c r="Y430" s="2" t="str">
        <f t="shared" si="9"/>
        <v/>
      </c>
      <c r="Z430" s="2" t="str">
        <f t="shared" si="10"/>
        <v/>
      </c>
      <c r="AA430" s="2">
        <f t="shared" si="11"/>
        <v>1.255538148</v>
      </c>
      <c r="AB430" s="2">
        <f t="shared" si="12"/>
        <v>1.255538148</v>
      </c>
      <c r="AC430" s="2" t="str">
        <f>VLOOKUP(A430,Regions!$A$2:$B$233,2)</f>
        <v>Sub-Saharan Africa</v>
      </c>
    </row>
    <row r="431">
      <c r="A431" s="1" t="s">
        <v>244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Q431" s="2" t="str">
        <f t="shared" si="1"/>
        <v/>
      </c>
      <c r="R431" s="2" t="str">
        <f t="shared" si="2"/>
        <v/>
      </c>
      <c r="S431" s="2" t="str">
        <f t="shared" si="3"/>
        <v/>
      </c>
      <c r="T431" s="2" t="str">
        <f t="shared" si="4"/>
        <v/>
      </c>
      <c r="U431" s="2">
        <f t="shared" si="5"/>
        <v>56</v>
      </c>
      <c r="V431" s="2">
        <f t="shared" si="6"/>
        <v>48</v>
      </c>
      <c r="W431" s="2">
        <f t="shared" si="7"/>
        <v>79</v>
      </c>
      <c r="X431" s="2" t="str">
        <f t="shared" si="8"/>
        <v/>
      </c>
      <c r="Y431" s="2" t="str">
        <f t="shared" si="9"/>
        <v/>
      </c>
      <c r="Z431" s="2" t="str">
        <f t="shared" si="10"/>
        <v/>
      </c>
      <c r="AA431" s="2">
        <f t="shared" si="11"/>
        <v>0</v>
      </c>
      <c r="AB431" s="2">
        <f t="shared" si="12"/>
        <v>0</v>
      </c>
      <c r="AC431" s="2" t="str">
        <f>VLOOKUP(A431,Regions!$A$2:$B$233,2)</f>
        <v>Sub-Saharan Africa</v>
      </c>
    </row>
    <row r="432">
      <c r="A432" s="1" t="s">
        <v>245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2">
        <f t="shared" si="1"/>
        <v>5</v>
      </c>
      <c r="R432" s="2">
        <f t="shared" si="2"/>
        <v>0.054275052</v>
      </c>
      <c r="S432" s="2">
        <f t="shared" si="3"/>
        <v>0.231377678</v>
      </c>
      <c r="T432" s="2">
        <f t="shared" si="4"/>
        <v>-0.011247684</v>
      </c>
      <c r="U432" s="2">
        <f t="shared" si="5"/>
        <v>94</v>
      </c>
      <c r="V432" s="2">
        <f t="shared" si="6"/>
        <v>99</v>
      </c>
      <c r="W432" s="2">
        <f t="shared" si="7"/>
        <v>91</v>
      </c>
      <c r="X432" s="2" t="str">
        <f t="shared" si="8"/>
        <v/>
      </c>
      <c r="Y432" s="2" t="str">
        <f t="shared" si="9"/>
        <v/>
      </c>
      <c r="Z432" s="2" t="str">
        <f t="shared" si="10"/>
        <v/>
      </c>
      <c r="AA432" s="2">
        <f t="shared" si="11"/>
        <v>0.242625362</v>
      </c>
      <c r="AB432" s="2">
        <f t="shared" si="12"/>
        <v>0.242625362</v>
      </c>
      <c r="AC432" s="2" t="str">
        <f>VLOOKUP(A432,Regions!$A$2:$B$233,2)</f>
        <v>Europe &amp; Central Asia</v>
      </c>
    </row>
    <row r="433">
      <c r="A433" s="1" t="s">
        <v>245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Q433" s="2" t="str">
        <f t="shared" si="1"/>
        <v/>
      </c>
      <c r="R433" s="2" t="str">
        <f t="shared" si="2"/>
        <v/>
      </c>
      <c r="S433" s="2" t="str">
        <f t="shared" si="3"/>
        <v/>
      </c>
      <c r="T433" s="2" t="str">
        <f t="shared" si="4"/>
        <v/>
      </c>
      <c r="U433" s="2">
        <f t="shared" si="5"/>
        <v>94</v>
      </c>
      <c r="V433" s="2">
        <f t="shared" si="6"/>
        <v>100</v>
      </c>
      <c r="W433" s="2">
        <f t="shared" si="7"/>
        <v>91</v>
      </c>
      <c r="X433" s="2" t="str">
        <f t="shared" si="8"/>
        <v/>
      </c>
      <c r="Y433" s="2" t="str">
        <f t="shared" si="9"/>
        <v/>
      </c>
      <c r="Z433" s="2" t="str">
        <f t="shared" si="10"/>
        <v/>
      </c>
      <c r="AA433" s="2">
        <f t="shared" si="11"/>
        <v>0</v>
      </c>
      <c r="AB433" s="2">
        <f t="shared" si="12"/>
        <v>0</v>
      </c>
      <c r="AC433" s="2" t="str">
        <f>VLOOKUP(A433,Regions!$A$2:$B$233,2)</f>
        <v>Europe &amp; Central Asia</v>
      </c>
    </row>
    <row r="434">
      <c r="A434" s="1" t="s">
        <v>246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33</v>
      </c>
      <c r="J434" s="1" t="s">
        <v>33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  <c r="Q434" s="2">
        <f t="shared" si="1"/>
        <v>5</v>
      </c>
      <c r="R434" s="2">
        <f t="shared" si="2"/>
        <v>-0.001147294</v>
      </c>
      <c r="S434" s="2" t="str">
        <f t="shared" si="3"/>
        <v>null</v>
      </c>
      <c r="T434" s="2" t="str">
        <f t="shared" si="4"/>
        <v>null</v>
      </c>
      <c r="U434" s="2">
        <f t="shared" si="5"/>
        <v>100</v>
      </c>
      <c r="V434" s="2" t="str">
        <f t="shared" si="6"/>
        <v>null</v>
      </c>
      <c r="W434" s="2" t="str">
        <f t="shared" si="7"/>
        <v>null</v>
      </c>
      <c r="X434" s="2" t="str">
        <f t="shared" si="8"/>
        <v>full access</v>
      </c>
      <c r="Y434" s="2" t="str">
        <f t="shared" si="9"/>
        <v/>
      </c>
      <c r="Z434" s="2" t="str">
        <f t="shared" si="10"/>
        <v/>
      </c>
      <c r="AA434" s="2" t="str">
        <f t="shared" si="11"/>
        <v>null</v>
      </c>
      <c r="AB434" s="2" t="str">
        <f t="shared" si="12"/>
        <v>null</v>
      </c>
      <c r="AC434" s="2" t="str">
        <f>VLOOKUP(A434,Regions!$A$2:$B$233,2)</f>
        <v>Europe &amp; Central Asia</v>
      </c>
    </row>
    <row r="435">
      <c r="A435" s="1" t="s">
        <v>246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33</v>
      </c>
      <c r="J435" s="1" t="s">
        <v>33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33</v>
      </c>
      <c r="Q435" s="2" t="str">
        <f t="shared" si="1"/>
        <v/>
      </c>
      <c r="R435" s="2" t="str">
        <f t="shared" si="2"/>
        <v/>
      </c>
      <c r="S435" s="2" t="str">
        <f t="shared" si="3"/>
        <v/>
      </c>
      <c r="T435" s="2" t="str">
        <f t="shared" si="4"/>
        <v/>
      </c>
      <c r="U435" s="2">
        <f t="shared" si="5"/>
        <v>100</v>
      </c>
      <c r="V435" s="2" t="str">
        <f t="shared" si="6"/>
        <v>null</v>
      </c>
      <c r="W435" s="2" t="str">
        <f t="shared" si="7"/>
        <v>null</v>
      </c>
      <c r="X435" s="2" t="str">
        <f t="shared" si="8"/>
        <v/>
      </c>
      <c r="Y435" s="2" t="str">
        <f t="shared" si="9"/>
        <v/>
      </c>
      <c r="Z435" s="2" t="str">
        <f t="shared" si="10"/>
        <v/>
      </c>
      <c r="AA435" s="2">
        <f t="shared" si="11"/>
        <v>0</v>
      </c>
      <c r="AB435" s="2">
        <f t="shared" si="12"/>
        <v>0</v>
      </c>
      <c r="AC435" s="2" t="str">
        <f>VLOOKUP(A435,Regions!$A$2:$B$233,2)</f>
        <v>Europe &amp; Central Asia</v>
      </c>
    </row>
    <row r="436">
      <c r="A436" s="1" t="s">
        <v>247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2">
        <f t="shared" si="1"/>
        <v>5</v>
      </c>
      <c r="R436" s="2">
        <f t="shared" si="2"/>
        <v>-0.0000005880000003</v>
      </c>
      <c r="S436" s="2">
        <f t="shared" si="3"/>
        <v>0</v>
      </c>
      <c r="T436" s="2">
        <f t="shared" si="4"/>
        <v>0</v>
      </c>
      <c r="U436" s="2">
        <f t="shared" si="5"/>
        <v>100</v>
      </c>
      <c r="V436" s="2">
        <f t="shared" si="6"/>
        <v>100</v>
      </c>
      <c r="W436" s="2">
        <f t="shared" si="7"/>
        <v>100</v>
      </c>
      <c r="X436" s="2" t="str">
        <f t="shared" si="8"/>
        <v>full access</v>
      </c>
      <c r="Y436" s="2" t="str">
        <f t="shared" si="9"/>
        <v>full access</v>
      </c>
      <c r="Z436" s="2" t="str">
        <f t="shared" si="10"/>
        <v>full access</v>
      </c>
      <c r="AA436" s="2">
        <f t="shared" si="11"/>
        <v>0</v>
      </c>
      <c r="AB436" s="2">
        <f t="shared" si="12"/>
        <v>0</v>
      </c>
      <c r="AC436" s="2" t="str">
        <f>VLOOKUP(A436,Regions!$A$2:$B$233,2)</f>
        <v>Europe &amp; Central Asia</v>
      </c>
    </row>
    <row r="437">
      <c r="A437" s="1" t="s">
        <v>247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Q437" s="2" t="str">
        <f t="shared" si="1"/>
        <v/>
      </c>
      <c r="R437" s="2" t="str">
        <f t="shared" si="2"/>
        <v/>
      </c>
      <c r="S437" s="2" t="str">
        <f t="shared" si="3"/>
        <v/>
      </c>
      <c r="T437" s="2" t="str">
        <f t="shared" si="4"/>
        <v/>
      </c>
      <c r="U437" s="2">
        <f t="shared" si="5"/>
        <v>100</v>
      </c>
      <c r="V437" s="2">
        <f t="shared" si="6"/>
        <v>100</v>
      </c>
      <c r="W437" s="2">
        <f t="shared" si="7"/>
        <v>100</v>
      </c>
      <c r="X437" s="2" t="str">
        <f t="shared" si="8"/>
        <v/>
      </c>
      <c r="Y437" s="2" t="str">
        <f t="shared" si="9"/>
        <v/>
      </c>
      <c r="Z437" s="2" t="str">
        <f t="shared" si="10"/>
        <v/>
      </c>
      <c r="AA437" s="2">
        <f t="shared" si="11"/>
        <v>0</v>
      </c>
      <c r="AB437" s="2">
        <f t="shared" si="12"/>
        <v>0</v>
      </c>
      <c r="AC437" s="2" t="str">
        <f>VLOOKUP(A437,Regions!$A$2:$B$233,2)</f>
        <v>Europe &amp; Central Asia</v>
      </c>
    </row>
    <row r="438">
      <c r="A438" s="1" t="s">
        <v>248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2">
        <f t="shared" si="1"/>
        <v>5</v>
      </c>
      <c r="R438" s="2">
        <f t="shared" si="2"/>
        <v>1.5506006</v>
      </c>
      <c r="S438" s="2">
        <f t="shared" si="3"/>
        <v>1.316708156</v>
      </c>
      <c r="T438" s="2">
        <f t="shared" si="4"/>
        <v>1.0666139</v>
      </c>
      <c r="U438" s="2">
        <f t="shared" si="5"/>
        <v>53</v>
      </c>
      <c r="V438" s="2">
        <f t="shared" si="6"/>
        <v>39</v>
      </c>
      <c r="W438" s="2">
        <f t="shared" si="7"/>
        <v>83</v>
      </c>
      <c r="X438" s="2" t="str">
        <f t="shared" si="8"/>
        <v/>
      </c>
      <c r="Y438" s="2" t="str">
        <f t="shared" si="9"/>
        <v/>
      </c>
      <c r="Z438" s="2" t="str">
        <f t="shared" si="10"/>
        <v/>
      </c>
      <c r="AA438" s="2">
        <f t="shared" si="11"/>
        <v>0.250094256</v>
      </c>
      <c r="AB438" s="2">
        <f t="shared" si="12"/>
        <v>0.250094256</v>
      </c>
      <c r="AC438" s="2" t="str">
        <f>VLOOKUP(A438,Regions!$A$2:$B$233,2)</f>
        <v>Sub-Saharan Africa</v>
      </c>
    </row>
    <row r="439">
      <c r="A439" s="1" t="s">
        <v>248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Q439" s="2" t="str">
        <f t="shared" si="1"/>
        <v/>
      </c>
      <c r="R439" s="2" t="str">
        <f t="shared" si="2"/>
        <v/>
      </c>
      <c r="S439" s="2" t="str">
        <f t="shared" si="3"/>
        <v/>
      </c>
      <c r="T439" s="2" t="str">
        <f t="shared" si="4"/>
        <v/>
      </c>
      <c r="U439" s="2">
        <f t="shared" si="5"/>
        <v>61</v>
      </c>
      <c r="V439" s="2">
        <f t="shared" si="6"/>
        <v>45</v>
      </c>
      <c r="W439" s="2">
        <f t="shared" si="7"/>
        <v>89</v>
      </c>
      <c r="X439" s="2" t="str">
        <f t="shared" si="8"/>
        <v/>
      </c>
      <c r="Y439" s="2" t="str">
        <f t="shared" si="9"/>
        <v/>
      </c>
      <c r="Z439" s="2" t="str">
        <f t="shared" si="10"/>
        <v/>
      </c>
      <c r="AA439" s="2">
        <f t="shared" si="11"/>
        <v>0</v>
      </c>
      <c r="AB439" s="2">
        <f t="shared" si="12"/>
        <v>0</v>
      </c>
      <c r="AC439" s="2" t="str">
        <f>VLOOKUP(A439,Regions!$A$2:$B$233,2)</f>
        <v>Sub-Saharan Africa</v>
      </c>
    </row>
    <row r="440">
      <c r="A440" s="1" t="s">
        <v>249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2">
        <f t="shared" si="1"/>
        <v>5</v>
      </c>
      <c r="R440" s="2">
        <f t="shared" si="2"/>
        <v>0.087273784</v>
      </c>
      <c r="S440" s="2">
        <f t="shared" si="3"/>
        <v>0.378133766</v>
      </c>
      <c r="T440" s="2">
        <f t="shared" si="4"/>
        <v>0.021372932</v>
      </c>
      <c r="U440" s="2">
        <f t="shared" si="5"/>
        <v>99</v>
      </c>
      <c r="V440" s="2">
        <f t="shared" si="6"/>
        <v>98</v>
      </c>
      <c r="W440" s="2">
        <f t="shared" si="7"/>
        <v>100</v>
      </c>
      <c r="X440" s="2" t="str">
        <f t="shared" si="8"/>
        <v/>
      </c>
      <c r="Y440" s="2" t="str">
        <f t="shared" si="9"/>
        <v/>
      </c>
      <c r="Z440" s="2" t="str">
        <f t="shared" si="10"/>
        <v>full access</v>
      </c>
      <c r="AA440" s="2">
        <f t="shared" si="11"/>
        <v>0.356760834</v>
      </c>
      <c r="AB440" s="2">
        <f t="shared" si="12"/>
        <v>0.356760834</v>
      </c>
      <c r="AC440" s="2" t="str">
        <f>VLOOKUP(A440,Regions!$A$2:$B$233,2)</f>
        <v>North America</v>
      </c>
    </row>
    <row r="441">
      <c r="A441" s="1" t="s">
        <v>249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Q441" s="2" t="str">
        <f t="shared" si="1"/>
        <v/>
      </c>
      <c r="R441" s="2" t="str">
        <f t="shared" si="2"/>
        <v/>
      </c>
      <c r="S441" s="2" t="str">
        <f t="shared" si="3"/>
        <v/>
      </c>
      <c r="T441" s="2" t="str">
        <f t="shared" si="4"/>
        <v/>
      </c>
      <c r="U441" s="2">
        <f t="shared" si="5"/>
        <v>100</v>
      </c>
      <c r="V441" s="2">
        <f t="shared" si="6"/>
        <v>100</v>
      </c>
      <c r="W441" s="2">
        <f t="shared" si="7"/>
        <v>100</v>
      </c>
      <c r="X441" s="2" t="str">
        <f t="shared" si="8"/>
        <v/>
      </c>
      <c r="Y441" s="2" t="str">
        <f t="shared" si="9"/>
        <v/>
      </c>
      <c r="Z441" s="2" t="str">
        <f t="shared" si="10"/>
        <v/>
      </c>
      <c r="AA441" s="2">
        <f t="shared" si="11"/>
        <v>0</v>
      </c>
      <c r="AB441" s="2">
        <f t="shared" si="12"/>
        <v>0</v>
      </c>
      <c r="AC441" s="2" t="str">
        <f>VLOOKUP(A441,Regions!$A$2:$B$233,2)</f>
        <v>North America</v>
      </c>
    </row>
    <row r="442">
      <c r="A442" s="1" t="s">
        <v>250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33</v>
      </c>
      <c r="J442" s="1" t="s">
        <v>33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33</v>
      </c>
      <c r="Q442" s="2">
        <f t="shared" si="1"/>
        <v>5</v>
      </c>
      <c r="R442" s="2">
        <f t="shared" si="2"/>
        <v>-0.000001086</v>
      </c>
      <c r="S442" s="2" t="str">
        <f t="shared" si="3"/>
        <v>null</v>
      </c>
      <c r="T442" s="2" t="str">
        <f t="shared" si="4"/>
        <v>null</v>
      </c>
      <c r="U442" s="2">
        <f t="shared" si="5"/>
        <v>99</v>
      </c>
      <c r="V442" s="2" t="str">
        <f t="shared" si="6"/>
        <v>null</v>
      </c>
      <c r="W442" s="2" t="str">
        <f t="shared" si="7"/>
        <v>null</v>
      </c>
      <c r="X442" s="2" t="str">
        <f t="shared" si="8"/>
        <v/>
      </c>
      <c r="Y442" s="2" t="str">
        <f t="shared" si="9"/>
        <v/>
      </c>
      <c r="Z442" s="2" t="str">
        <f t="shared" si="10"/>
        <v/>
      </c>
      <c r="AA442" s="2" t="str">
        <f t="shared" si="11"/>
        <v>null</v>
      </c>
      <c r="AB442" s="2" t="str">
        <f t="shared" si="12"/>
        <v>null</v>
      </c>
      <c r="AC442" s="2" t="str">
        <f>VLOOKUP(A442,Regions!$A$2:$B$233,2)</f>
        <v>Latin America &amp; Caribbean</v>
      </c>
    </row>
    <row r="443">
      <c r="A443" s="1" t="s">
        <v>250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33</v>
      </c>
      <c r="J443" s="1" t="s">
        <v>33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33</v>
      </c>
      <c r="Q443" s="2" t="str">
        <f t="shared" si="1"/>
        <v/>
      </c>
      <c r="R443" s="2" t="str">
        <f t="shared" si="2"/>
        <v/>
      </c>
      <c r="S443" s="2" t="str">
        <f t="shared" si="3"/>
        <v/>
      </c>
      <c r="T443" s="2" t="str">
        <f t="shared" si="4"/>
        <v/>
      </c>
      <c r="U443" s="2">
        <f t="shared" si="5"/>
        <v>99</v>
      </c>
      <c r="V443" s="2" t="str">
        <f t="shared" si="6"/>
        <v>null</v>
      </c>
      <c r="W443" s="2" t="str">
        <f t="shared" si="7"/>
        <v>null</v>
      </c>
      <c r="X443" s="2" t="str">
        <f t="shared" si="8"/>
        <v/>
      </c>
      <c r="Y443" s="2" t="str">
        <f t="shared" si="9"/>
        <v/>
      </c>
      <c r="Z443" s="2" t="str">
        <f t="shared" si="10"/>
        <v/>
      </c>
      <c r="AA443" s="2">
        <f t="shared" si="11"/>
        <v>0</v>
      </c>
      <c r="AB443" s="2">
        <f t="shared" si="12"/>
        <v>0</v>
      </c>
      <c r="AC443" s="2" t="str">
        <f>VLOOKUP(A443,Regions!$A$2:$B$233,2)</f>
        <v>Latin America &amp; Caribbean</v>
      </c>
    </row>
    <row r="444">
      <c r="A444" s="1" t="s">
        <v>251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2">
        <f t="shared" si="1"/>
        <v>5</v>
      </c>
      <c r="R444" s="2">
        <f t="shared" si="2"/>
        <v>0.072872</v>
      </c>
      <c r="S444" s="2">
        <f t="shared" si="3"/>
        <v>0.760997232</v>
      </c>
      <c r="T444" s="2">
        <f t="shared" si="4"/>
        <v>0.032654492</v>
      </c>
      <c r="U444" s="2">
        <f t="shared" si="5"/>
        <v>99</v>
      </c>
      <c r="V444" s="2">
        <f t="shared" si="6"/>
        <v>91</v>
      </c>
      <c r="W444" s="2">
        <f t="shared" si="7"/>
        <v>100</v>
      </c>
      <c r="X444" s="2" t="str">
        <f t="shared" si="8"/>
        <v/>
      </c>
      <c r="Y444" s="2" t="str">
        <f t="shared" si="9"/>
        <v/>
      </c>
      <c r="Z444" s="2" t="str">
        <f t="shared" si="10"/>
        <v>full access</v>
      </c>
      <c r="AA444" s="2">
        <f t="shared" si="11"/>
        <v>0.72834274</v>
      </c>
      <c r="AB444" s="2">
        <f t="shared" si="12"/>
        <v>0.72834274</v>
      </c>
      <c r="AC444" s="2" t="str">
        <f>VLOOKUP(A444,Regions!$A$2:$B$233,2)</f>
        <v>Latin America &amp; Caribbean</v>
      </c>
    </row>
    <row r="445">
      <c r="A445" s="1" t="s">
        <v>251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Q445" s="2" t="str">
        <f t="shared" si="1"/>
        <v/>
      </c>
      <c r="R445" s="2" t="str">
        <f t="shared" si="2"/>
        <v/>
      </c>
      <c r="S445" s="2" t="str">
        <f t="shared" si="3"/>
        <v/>
      </c>
      <c r="T445" s="2" t="str">
        <f t="shared" si="4"/>
        <v/>
      </c>
      <c r="U445" s="2">
        <f t="shared" si="5"/>
        <v>99</v>
      </c>
      <c r="V445" s="2">
        <f t="shared" si="6"/>
        <v>95</v>
      </c>
      <c r="W445" s="2">
        <f t="shared" si="7"/>
        <v>100</v>
      </c>
      <c r="X445" s="2" t="str">
        <f t="shared" si="8"/>
        <v/>
      </c>
      <c r="Y445" s="2" t="str">
        <f t="shared" si="9"/>
        <v/>
      </c>
      <c r="Z445" s="2" t="str">
        <f t="shared" si="10"/>
        <v/>
      </c>
      <c r="AA445" s="2">
        <f t="shared" si="11"/>
        <v>0</v>
      </c>
      <c r="AB445" s="2">
        <f t="shared" si="12"/>
        <v>0</v>
      </c>
      <c r="AC445" s="2" t="str">
        <f>VLOOKUP(A445,Regions!$A$2:$B$233,2)</f>
        <v>Latin America &amp; Caribbean</v>
      </c>
    </row>
    <row r="446">
      <c r="A446" s="1" t="s">
        <v>252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2">
        <f t="shared" si="1"/>
        <v>5</v>
      </c>
      <c r="R446" s="2">
        <f t="shared" si="2"/>
        <v>0.060041318</v>
      </c>
      <c r="S446" s="2">
        <f t="shared" si="3"/>
        <v>0.086038162</v>
      </c>
      <c r="T446" s="2">
        <f t="shared" si="4"/>
        <v>0.039397988</v>
      </c>
      <c r="U446" s="2">
        <f t="shared" si="5"/>
        <v>98</v>
      </c>
      <c r="V446" s="2">
        <f t="shared" si="6"/>
        <v>96</v>
      </c>
      <c r="W446" s="2">
        <f t="shared" si="7"/>
        <v>99</v>
      </c>
      <c r="X446" s="2" t="str">
        <f t="shared" si="8"/>
        <v/>
      </c>
      <c r="Y446" s="2" t="str">
        <f t="shared" si="9"/>
        <v/>
      </c>
      <c r="Z446" s="2" t="str">
        <f t="shared" si="10"/>
        <v/>
      </c>
      <c r="AA446" s="2">
        <f t="shared" si="11"/>
        <v>0.046640174</v>
      </c>
      <c r="AB446" s="2">
        <f t="shared" si="12"/>
        <v>0.046640174</v>
      </c>
      <c r="AC446" s="2" t="str">
        <f>VLOOKUP(A446,Regions!$A$2:$B$233,2)</f>
        <v>Europe &amp; Central Asia</v>
      </c>
    </row>
    <row r="447">
      <c r="A447" s="1" t="s">
        <v>252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Q447" s="2" t="str">
        <f t="shared" si="1"/>
        <v/>
      </c>
      <c r="R447" s="2" t="str">
        <f t="shared" si="2"/>
        <v/>
      </c>
      <c r="S447" s="2" t="str">
        <f t="shared" si="3"/>
        <v/>
      </c>
      <c r="T447" s="2" t="str">
        <f t="shared" si="4"/>
        <v/>
      </c>
      <c r="U447" s="2">
        <f t="shared" si="5"/>
        <v>98</v>
      </c>
      <c r="V447" s="2">
        <f t="shared" si="6"/>
        <v>96</v>
      </c>
      <c r="W447" s="2">
        <f t="shared" si="7"/>
        <v>100</v>
      </c>
      <c r="X447" s="2" t="str">
        <f t="shared" si="8"/>
        <v/>
      </c>
      <c r="Y447" s="2" t="str">
        <f t="shared" si="9"/>
        <v/>
      </c>
      <c r="Z447" s="2" t="str">
        <f t="shared" si="10"/>
        <v/>
      </c>
      <c r="AA447" s="2">
        <f t="shared" si="11"/>
        <v>0</v>
      </c>
      <c r="AB447" s="2">
        <f t="shared" si="12"/>
        <v>0</v>
      </c>
      <c r="AC447" s="2" t="str">
        <f>VLOOKUP(A447,Regions!$A$2:$B$233,2)</f>
        <v>Europe &amp; Central Asia</v>
      </c>
    </row>
    <row r="448">
      <c r="A448" s="1" t="s">
        <v>253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2">
        <f t="shared" si="1"/>
        <v>5</v>
      </c>
      <c r="R448" s="2">
        <f t="shared" si="2"/>
        <v>0.248602852</v>
      </c>
      <c r="S448" s="2">
        <f t="shared" si="3"/>
        <v>0.283830114</v>
      </c>
      <c r="T448" s="2">
        <f t="shared" si="4"/>
        <v>0.092528802</v>
      </c>
      <c r="U448" s="2">
        <f t="shared" si="5"/>
        <v>90</v>
      </c>
      <c r="V448" s="2">
        <f t="shared" si="6"/>
        <v>87</v>
      </c>
      <c r="W448" s="2">
        <f t="shared" si="7"/>
        <v>99</v>
      </c>
      <c r="X448" s="2" t="str">
        <f t="shared" si="8"/>
        <v/>
      </c>
      <c r="Y448" s="2" t="str">
        <f t="shared" si="9"/>
        <v/>
      </c>
      <c r="Z448" s="2" t="str">
        <f t="shared" si="10"/>
        <v/>
      </c>
      <c r="AA448" s="2">
        <f t="shared" si="11"/>
        <v>0.191301312</v>
      </c>
      <c r="AB448" s="2">
        <f t="shared" si="12"/>
        <v>0.191301312</v>
      </c>
      <c r="AC448" s="2" t="str">
        <f>VLOOKUP(A448,Regions!$A$2:$B$233,2)</f>
        <v>East Asia &amp; Pacific</v>
      </c>
    </row>
    <row r="449">
      <c r="A449" s="1" t="s">
        <v>253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Q449" s="2" t="str">
        <f t="shared" si="1"/>
        <v/>
      </c>
      <c r="R449" s="2" t="str">
        <f t="shared" si="2"/>
        <v/>
      </c>
      <c r="S449" s="2" t="str">
        <f t="shared" si="3"/>
        <v/>
      </c>
      <c r="T449" s="2" t="str">
        <f t="shared" si="4"/>
        <v/>
      </c>
      <c r="U449" s="2">
        <f t="shared" si="5"/>
        <v>91</v>
      </c>
      <c r="V449" s="2">
        <f t="shared" si="6"/>
        <v>88</v>
      </c>
      <c r="W449" s="2">
        <f t="shared" si="7"/>
        <v>100</v>
      </c>
      <c r="X449" s="2" t="str">
        <f t="shared" si="8"/>
        <v/>
      </c>
      <c r="Y449" s="2" t="str">
        <f t="shared" si="9"/>
        <v/>
      </c>
      <c r="Z449" s="2" t="str">
        <f t="shared" si="10"/>
        <v/>
      </c>
      <c r="AA449" s="2">
        <f t="shared" si="11"/>
        <v>0</v>
      </c>
      <c r="AB449" s="2">
        <f t="shared" si="12"/>
        <v>0</v>
      </c>
      <c r="AC449" s="2" t="str">
        <f>VLOOKUP(A449,Regions!$A$2:$B$233,2)</f>
        <v>East Asia &amp; Pacific</v>
      </c>
    </row>
    <row r="450">
      <c r="A450" s="1" t="s">
        <v>254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33</v>
      </c>
      <c r="J450" s="1" t="s">
        <v>33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33</v>
      </c>
      <c r="Q450" s="2">
        <f t="shared" si="1"/>
        <v>5</v>
      </c>
      <c r="R450" s="2">
        <f t="shared" si="2"/>
        <v>-0.17709486</v>
      </c>
      <c r="S450" s="2" t="str">
        <f t="shared" si="3"/>
        <v>null</v>
      </c>
      <c r="T450" s="2" t="str">
        <f t="shared" si="4"/>
        <v>null</v>
      </c>
      <c r="U450" s="2">
        <f t="shared" si="5"/>
        <v>95</v>
      </c>
      <c r="V450" s="2" t="str">
        <f t="shared" si="6"/>
        <v>null</v>
      </c>
      <c r="W450" s="2" t="str">
        <f t="shared" si="7"/>
        <v>null</v>
      </c>
      <c r="X450" s="2" t="str">
        <f t="shared" si="8"/>
        <v/>
      </c>
      <c r="Y450" s="2" t="str">
        <f t="shared" si="9"/>
        <v/>
      </c>
      <c r="Z450" s="2" t="str">
        <f t="shared" si="10"/>
        <v/>
      </c>
      <c r="AA450" s="2" t="str">
        <f t="shared" si="11"/>
        <v>null</v>
      </c>
      <c r="AB450" s="2" t="str">
        <f t="shared" si="12"/>
        <v>null</v>
      </c>
      <c r="AC450" s="2" t="str">
        <f>VLOOKUP(A450,Regions!$A$2:$B$233,2)</f>
        <v>Latin America &amp; Caribbean</v>
      </c>
    </row>
    <row r="451">
      <c r="A451" s="1" t="s">
        <v>254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33</v>
      </c>
      <c r="I451" s="1" t="s">
        <v>33</v>
      </c>
      <c r="J451" s="1" t="s">
        <v>33</v>
      </c>
      <c r="K451" s="1" t="s">
        <v>33</v>
      </c>
      <c r="L451" s="1" t="s">
        <v>33</v>
      </c>
      <c r="M451" s="1" t="s">
        <v>33</v>
      </c>
      <c r="N451" s="1" t="s">
        <v>33</v>
      </c>
      <c r="O451" s="1" t="s">
        <v>33</v>
      </c>
      <c r="P451" s="1" t="s">
        <v>33</v>
      </c>
      <c r="Q451" s="2" t="str">
        <f t="shared" si="1"/>
        <v/>
      </c>
      <c r="R451" s="2" t="str">
        <f t="shared" si="2"/>
        <v/>
      </c>
      <c r="S451" s="2" t="str">
        <f t="shared" si="3"/>
        <v/>
      </c>
      <c r="T451" s="2" t="str">
        <f t="shared" si="4"/>
        <v/>
      </c>
      <c r="U451" s="2">
        <f t="shared" si="5"/>
        <v>94</v>
      </c>
      <c r="V451" s="2" t="str">
        <f t="shared" si="6"/>
        <v>null</v>
      </c>
      <c r="W451" s="2" t="str">
        <f t="shared" si="7"/>
        <v>null</v>
      </c>
      <c r="X451" s="2" t="str">
        <f t="shared" si="8"/>
        <v/>
      </c>
      <c r="Y451" s="2" t="str">
        <f t="shared" si="9"/>
        <v/>
      </c>
      <c r="Z451" s="2" t="str">
        <f t="shared" si="10"/>
        <v/>
      </c>
      <c r="AA451" s="2">
        <f t="shared" si="11"/>
        <v>0</v>
      </c>
      <c r="AB451" s="2">
        <f t="shared" si="12"/>
        <v>0</v>
      </c>
      <c r="AC451" s="2" t="str">
        <f>VLOOKUP(A451,Regions!$A$2:$B$233,2)</f>
        <v>Latin America &amp; Caribbean</v>
      </c>
    </row>
    <row r="452">
      <c r="A452" s="1" t="s">
        <v>255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2">
        <f t="shared" si="1"/>
        <v>5</v>
      </c>
      <c r="R452" s="2">
        <f t="shared" si="2"/>
        <v>0.711259258</v>
      </c>
      <c r="S452" s="2">
        <f t="shared" si="3"/>
        <v>0.93629409</v>
      </c>
      <c r="T452" s="2">
        <f t="shared" si="4"/>
        <v>0.194059298</v>
      </c>
      <c r="U452" s="2">
        <f t="shared" si="5"/>
        <v>93</v>
      </c>
      <c r="V452" s="2">
        <f t="shared" si="6"/>
        <v>91</v>
      </c>
      <c r="W452" s="2">
        <f t="shared" si="7"/>
        <v>98</v>
      </c>
      <c r="X452" s="2" t="str">
        <f t="shared" si="8"/>
        <v/>
      </c>
      <c r="Y452" s="2" t="str">
        <f t="shared" si="9"/>
        <v/>
      </c>
      <c r="Z452" s="2" t="str">
        <f t="shared" si="10"/>
        <v/>
      </c>
      <c r="AA452" s="2">
        <f t="shared" si="11"/>
        <v>0.742234792</v>
      </c>
      <c r="AB452" s="2">
        <f t="shared" si="12"/>
        <v>0.742234792</v>
      </c>
      <c r="AC452" s="2" t="str">
        <f>VLOOKUP(A452,Regions!$A$2:$B$233,2)</f>
        <v>East Asia &amp; Pacific</v>
      </c>
    </row>
    <row r="453">
      <c r="A453" s="1" t="s">
        <v>255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Q453" s="2" t="str">
        <f t="shared" si="1"/>
        <v/>
      </c>
      <c r="R453" s="2" t="str">
        <f t="shared" si="2"/>
        <v/>
      </c>
      <c r="S453" s="2" t="str">
        <f t="shared" si="3"/>
        <v/>
      </c>
      <c r="T453" s="2" t="str">
        <f t="shared" si="4"/>
        <v/>
      </c>
      <c r="U453" s="2">
        <f t="shared" si="5"/>
        <v>97</v>
      </c>
      <c r="V453" s="2">
        <f t="shared" si="6"/>
        <v>96</v>
      </c>
      <c r="W453" s="2">
        <f t="shared" si="7"/>
        <v>99</v>
      </c>
      <c r="X453" s="2" t="str">
        <f t="shared" si="8"/>
        <v/>
      </c>
      <c r="Y453" s="2" t="str">
        <f t="shared" si="9"/>
        <v/>
      </c>
      <c r="Z453" s="2" t="str">
        <f t="shared" si="10"/>
        <v/>
      </c>
      <c r="AA453" s="2">
        <f t="shared" si="11"/>
        <v>0</v>
      </c>
      <c r="AB453" s="2">
        <f t="shared" si="12"/>
        <v>0</v>
      </c>
      <c r="AC453" s="2" t="str">
        <f>VLOOKUP(A453,Regions!$A$2:$B$233,2)</f>
        <v>East Asia &amp; Pacific</v>
      </c>
    </row>
    <row r="454">
      <c r="A454" s="1" t="s">
        <v>256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33</v>
      </c>
      <c r="N454" s="1" t="s">
        <v>33</v>
      </c>
      <c r="O454" s="1" t="s">
        <v>33</v>
      </c>
      <c r="P454" s="1" t="s">
        <v>33</v>
      </c>
      <c r="Q454" s="2">
        <f t="shared" si="1"/>
        <v>5</v>
      </c>
      <c r="R454" s="2">
        <f t="shared" si="2"/>
        <v>-0.035618834</v>
      </c>
      <c r="S454" s="2">
        <f t="shared" si="3"/>
        <v>-0.035618834</v>
      </c>
      <c r="T454" s="2" t="str">
        <f t="shared" si="4"/>
        <v>null</v>
      </c>
      <c r="U454" s="2">
        <f t="shared" si="5"/>
        <v>99</v>
      </c>
      <c r="V454" s="2">
        <f t="shared" si="6"/>
        <v>99</v>
      </c>
      <c r="W454" s="2" t="str">
        <f t="shared" si="7"/>
        <v>null</v>
      </c>
      <c r="X454" s="2" t="str">
        <f t="shared" si="8"/>
        <v/>
      </c>
      <c r="Y454" s="2" t="str">
        <f t="shared" si="9"/>
        <v/>
      </c>
      <c r="Z454" s="2" t="str">
        <f t="shared" si="10"/>
        <v/>
      </c>
      <c r="AA454" s="2" t="str">
        <f t="shared" si="11"/>
        <v>null</v>
      </c>
      <c r="AB454" s="2" t="str">
        <f t="shared" si="12"/>
        <v>null</v>
      </c>
      <c r="AC454" s="2" t="str">
        <f>VLOOKUP(A454,Regions!$A$2:$B$233,2)</f>
        <v>East Asia &amp; Pacific</v>
      </c>
    </row>
    <row r="455">
      <c r="A455" s="1" t="s">
        <v>256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33</v>
      </c>
      <c r="N455" s="1" t="s">
        <v>33</v>
      </c>
      <c r="O455" s="1" t="s">
        <v>33</v>
      </c>
      <c r="P455" s="1" t="s">
        <v>33</v>
      </c>
      <c r="Q455" s="2" t="str">
        <f t="shared" si="1"/>
        <v/>
      </c>
      <c r="R455" s="2" t="str">
        <f t="shared" si="2"/>
        <v/>
      </c>
      <c r="S455" s="2" t="str">
        <f t="shared" si="3"/>
        <v/>
      </c>
      <c r="T455" s="2" t="str">
        <f t="shared" si="4"/>
        <v/>
      </c>
      <c r="U455" s="2">
        <f t="shared" si="5"/>
        <v>99</v>
      </c>
      <c r="V455" s="2">
        <f t="shared" si="6"/>
        <v>99</v>
      </c>
      <c r="W455" s="2" t="str">
        <f t="shared" si="7"/>
        <v>null</v>
      </c>
      <c r="X455" s="2" t="str">
        <f t="shared" si="8"/>
        <v/>
      </c>
      <c r="Y455" s="2" t="str">
        <f t="shared" si="9"/>
        <v/>
      </c>
      <c r="Z455" s="2" t="str">
        <f t="shared" si="10"/>
        <v/>
      </c>
      <c r="AA455" s="2">
        <f t="shared" si="11"/>
        <v>0</v>
      </c>
      <c r="AB455" s="2">
        <f t="shared" si="12"/>
        <v>0</v>
      </c>
      <c r="AC455" s="2" t="str">
        <f>VLOOKUP(A455,Regions!$A$2:$B$233,2)</f>
        <v>East Asia &amp; Pacific</v>
      </c>
    </row>
    <row r="456">
      <c r="A456" s="1" t="s">
        <v>257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33</v>
      </c>
      <c r="I456" s="1">
        <v>95.38114235</v>
      </c>
      <c r="J456" s="1">
        <v>0.9927312092</v>
      </c>
      <c r="K456" s="1">
        <v>3.626126441</v>
      </c>
      <c r="L456" s="1" t="s">
        <v>33</v>
      </c>
      <c r="M456" s="1">
        <v>96.70625962</v>
      </c>
      <c r="N456" s="1">
        <v>0.4551070803</v>
      </c>
      <c r="O456" s="1">
        <v>2.838633298</v>
      </c>
      <c r="P456" s="1" t="s">
        <v>33</v>
      </c>
      <c r="Q456" s="2">
        <f t="shared" si="1"/>
        <v>5</v>
      </c>
      <c r="R456" s="2">
        <f t="shared" si="2"/>
        <v>0.300108102</v>
      </c>
      <c r="S456" s="2">
        <f t="shared" si="3"/>
        <v>0.666882814</v>
      </c>
      <c r="T456" s="2">
        <f t="shared" si="4"/>
        <v>0.184140962</v>
      </c>
      <c r="U456" s="2">
        <f t="shared" si="5"/>
        <v>96</v>
      </c>
      <c r="V456" s="2">
        <f t="shared" si="6"/>
        <v>95</v>
      </c>
      <c r="W456" s="2">
        <f t="shared" si="7"/>
        <v>97</v>
      </c>
      <c r="X456" s="2" t="str">
        <f t="shared" si="8"/>
        <v/>
      </c>
      <c r="Y456" s="2" t="str">
        <f t="shared" si="9"/>
        <v/>
      </c>
      <c r="Z456" s="2" t="str">
        <f t="shared" si="10"/>
        <v/>
      </c>
      <c r="AA456" s="2">
        <f t="shared" si="11"/>
        <v>0.482741852</v>
      </c>
      <c r="AB456" s="2">
        <f t="shared" si="12"/>
        <v>0.482741852</v>
      </c>
      <c r="AC456" s="2" t="str">
        <f>VLOOKUP(A456,Regions!$A$2:$B$233,2)</f>
        <v>Europe &amp; Central Asia</v>
      </c>
    </row>
    <row r="457">
      <c r="A457" s="1" t="s">
        <v>257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33</v>
      </c>
      <c r="I457" s="1">
        <v>98.71555642</v>
      </c>
      <c r="J457" s="1">
        <v>0.3174006273</v>
      </c>
      <c r="K457" s="1">
        <v>0.9670429576</v>
      </c>
      <c r="L457" s="1" t="s">
        <v>33</v>
      </c>
      <c r="M457" s="1">
        <v>97.62696443</v>
      </c>
      <c r="N457" s="1">
        <v>1.246217358</v>
      </c>
      <c r="O457" s="1">
        <v>1.126818208</v>
      </c>
      <c r="P457" s="1" t="s">
        <v>33</v>
      </c>
      <c r="Q457" s="2" t="str">
        <f t="shared" si="1"/>
        <v/>
      </c>
      <c r="R457" s="2" t="str">
        <f t="shared" si="2"/>
        <v/>
      </c>
      <c r="S457" s="2" t="str">
        <f t="shared" si="3"/>
        <v/>
      </c>
      <c r="T457" s="2" t="str">
        <f t="shared" si="4"/>
        <v/>
      </c>
      <c r="U457" s="2">
        <f t="shared" si="5"/>
        <v>98</v>
      </c>
      <c r="V457" s="2">
        <f t="shared" si="6"/>
        <v>99</v>
      </c>
      <c r="W457" s="2">
        <f t="shared" si="7"/>
        <v>98</v>
      </c>
      <c r="X457" s="2" t="str">
        <f t="shared" si="8"/>
        <v/>
      </c>
      <c r="Y457" s="2" t="str">
        <f t="shared" si="9"/>
        <v/>
      </c>
      <c r="Z457" s="2" t="str">
        <f t="shared" si="10"/>
        <v/>
      </c>
      <c r="AA457" s="2">
        <f t="shared" si="11"/>
        <v>0</v>
      </c>
      <c r="AB457" s="2">
        <f t="shared" si="12"/>
        <v>0</v>
      </c>
      <c r="AC457" s="2" t="str">
        <f>VLOOKUP(A457,Regions!$A$2:$B$233,2)</f>
        <v>Europe &amp; Central Asia</v>
      </c>
    </row>
    <row r="458">
      <c r="A458" s="1" t="s">
        <v>258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2">
        <f t="shared" si="1"/>
        <v>5</v>
      </c>
      <c r="R458" s="2">
        <f t="shared" si="2"/>
        <v>0.976940242</v>
      </c>
      <c r="S458" s="2">
        <f t="shared" si="3"/>
        <v>1.144613242</v>
      </c>
      <c r="T458" s="2">
        <f t="shared" si="4"/>
        <v>0.188323488</v>
      </c>
      <c r="U458" s="2">
        <f t="shared" si="5"/>
        <v>56</v>
      </c>
      <c r="V458" s="2">
        <f t="shared" si="6"/>
        <v>45</v>
      </c>
      <c r="W458" s="2">
        <f t="shared" si="7"/>
        <v>76</v>
      </c>
      <c r="X458" s="2" t="str">
        <f t="shared" si="8"/>
        <v/>
      </c>
      <c r="Y458" s="2" t="str">
        <f t="shared" si="9"/>
        <v/>
      </c>
      <c r="Z458" s="2" t="str">
        <f t="shared" si="10"/>
        <v/>
      </c>
      <c r="AA458" s="2">
        <f t="shared" si="11"/>
        <v>0.956289754</v>
      </c>
      <c r="AB458" s="2">
        <f t="shared" si="12"/>
        <v>0.956289754</v>
      </c>
      <c r="AC458" s="2" t="str">
        <f>VLOOKUP(A458,Regions!$A$2:$B$233,2)</f>
        <v>Europe &amp; Central Asia</v>
      </c>
    </row>
    <row r="459">
      <c r="A459" s="1" t="s">
        <v>258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Q459" s="2" t="str">
        <f t="shared" si="1"/>
        <v/>
      </c>
      <c r="R459" s="2" t="str">
        <f t="shared" si="2"/>
        <v/>
      </c>
      <c r="S459" s="2" t="str">
        <f t="shared" si="3"/>
        <v/>
      </c>
      <c r="T459" s="2" t="str">
        <f t="shared" si="4"/>
        <v/>
      </c>
      <c r="U459" s="2">
        <f t="shared" si="5"/>
        <v>61</v>
      </c>
      <c r="V459" s="2">
        <f t="shared" si="6"/>
        <v>51</v>
      </c>
      <c r="W459" s="2">
        <f t="shared" si="7"/>
        <v>77</v>
      </c>
      <c r="X459" s="2" t="str">
        <f t="shared" si="8"/>
        <v/>
      </c>
      <c r="Y459" s="2" t="str">
        <f t="shared" si="9"/>
        <v/>
      </c>
      <c r="Z459" s="2" t="str">
        <f t="shared" si="10"/>
        <v/>
      </c>
      <c r="AA459" s="2">
        <f t="shared" si="11"/>
        <v>0</v>
      </c>
      <c r="AB459" s="2">
        <f t="shared" si="12"/>
        <v>0</v>
      </c>
      <c r="AC459" s="2" t="str">
        <f>VLOOKUP(A459,Regions!$A$2:$B$233,2)</f>
        <v>Europe &amp; Central Asia</v>
      </c>
    </row>
    <row r="460">
      <c r="A460" s="1" t="s">
        <v>259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2">
        <f t="shared" si="1"/>
        <v>5</v>
      </c>
      <c r="R460" s="2">
        <f t="shared" si="2"/>
        <v>0.814727458</v>
      </c>
      <c r="S460" s="2">
        <f t="shared" si="3"/>
        <v>0.922090802</v>
      </c>
      <c r="T460" s="2">
        <f t="shared" si="4"/>
        <v>0.165671474</v>
      </c>
      <c r="U460" s="2">
        <f t="shared" si="5"/>
        <v>61</v>
      </c>
      <c r="V460" s="2">
        <f t="shared" si="6"/>
        <v>44</v>
      </c>
      <c r="W460" s="2">
        <f t="shared" si="7"/>
        <v>86</v>
      </c>
      <c r="X460" s="2" t="str">
        <f t="shared" si="8"/>
        <v/>
      </c>
      <c r="Y460" s="2" t="str">
        <f t="shared" si="9"/>
        <v/>
      </c>
      <c r="Z460" s="2" t="str">
        <f t="shared" si="10"/>
        <v/>
      </c>
      <c r="AA460" s="2">
        <f t="shared" si="11"/>
        <v>0.756419328</v>
      </c>
      <c r="AB460" s="2">
        <f t="shared" si="12"/>
        <v>0.756419328</v>
      </c>
      <c r="AC460" s="2" t="str">
        <f>VLOOKUP(A460,Regions!$A$2:$B$233,2)</f>
        <v>Sub-Saharan Africa</v>
      </c>
    </row>
    <row r="461">
      <c r="A461" s="1" t="s">
        <v>259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Q461" s="2" t="str">
        <f t="shared" si="1"/>
        <v/>
      </c>
      <c r="R461" s="2" t="str">
        <f t="shared" si="2"/>
        <v/>
      </c>
      <c r="S461" s="2" t="str">
        <f t="shared" si="3"/>
        <v/>
      </c>
      <c r="T461" s="2" t="str">
        <f t="shared" si="4"/>
        <v/>
      </c>
      <c r="U461" s="2">
        <f t="shared" si="5"/>
        <v>65</v>
      </c>
      <c r="V461" s="2">
        <f t="shared" si="6"/>
        <v>48</v>
      </c>
      <c r="W461" s="2">
        <f t="shared" si="7"/>
        <v>87</v>
      </c>
      <c r="X461" s="2" t="str">
        <f t="shared" si="8"/>
        <v/>
      </c>
      <c r="Y461" s="2" t="str">
        <f t="shared" si="9"/>
        <v/>
      </c>
      <c r="Z461" s="2" t="str">
        <f t="shared" si="10"/>
        <v/>
      </c>
      <c r="AA461" s="2">
        <f t="shared" si="11"/>
        <v>0</v>
      </c>
      <c r="AB461" s="2">
        <f t="shared" si="12"/>
        <v>0</v>
      </c>
      <c r="AC461" s="2" t="str">
        <f>VLOOKUP(A461,Regions!$A$2:$B$233,2)</f>
        <v>Sub-Saharan Africa</v>
      </c>
    </row>
    <row r="462">
      <c r="A462" s="1" t="s">
        <v>260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2">
        <f t="shared" si="1"/>
        <v>5</v>
      </c>
      <c r="R462" s="2">
        <f t="shared" si="2"/>
        <v>-0.4576943</v>
      </c>
      <c r="S462" s="2">
        <f t="shared" si="3"/>
        <v>-0.593526372</v>
      </c>
      <c r="T462" s="2">
        <f t="shared" si="4"/>
        <v>-0.134701358</v>
      </c>
      <c r="U462" s="2">
        <f t="shared" si="5"/>
        <v>65</v>
      </c>
      <c r="V462" s="2">
        <f t="shared" si="6"/>
        <v>51</v>
      </c>
      <c r="W462" s="2">
        <f t="shared" si="7"/>
        <v>94</v>
      </c>
      <c r="X462" s="2" t="str">
        <f t="shared" si="8"/>
        <v/>
      </c>
      <c r="Y462" s="2" t="str">
        <f t="shared" si="9"/>
        <v/>
      </c>
      <c r="Z462" s="2" t="str">
        <f t="shared" si="10"/>
        <v/>
      </c>
      <c r="AA462" s="2">
        <f t="shared" si="11"/>
        <v>-0.458825014</v>
      </c>
      <c r="AB462" s="2">
        <f t="shared" si="12"/>
        <v>0.458825014</v>
      </c>
      <c r="AC462" s="2" t="str">
        <f>VLOOKUP(A462,Regions!$A$2:$B$233,2)</f>
        <v>Sub-Saharan Africa</v>
      </c>
    </row>
    <row r="463">
      <c r="A463" s="1" t="s">
        <v>260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Q463" s="2" t="str">
        <f t="shared" si="1"/>
        <v/>
      </c>
      <c r="R463" s="2" t="str">
        <f t="shared" si="2"/>
        <v/>
      </c>
      <c r="S463" s="2" t="str">
        <f t="shared" si="3"/>
        <v/>
      </c>
      <c r="T463" s="2" t="str">
        <f t="shared" si="4"/>
        <v/>
      </c>
      <c r="U463" s="2">
        <f t="shared" si="5"/>
        <v>63</v>
      </c>
      <c r="V463" s="2">
        <f t="shared" si="6"/>
        <v>48</v>
      </c>
      <c r="W463" s="2">
        <f t="shared" si="7"/>
        <v>93</v>
      </c>
      <c r="X463" s="2" t="str">
        <f t="shared" si="8"/>
        <v/>
      </c>
      <c r="Y463" s="2" t="str">
        <f t="shared" si="9"/>
        <v/>
      </c>
      <c r="Z463" s="2" t="str">
        <f t="shared" si="10"/>
        <v/>
      </c>
      <c r="AA463" s="2">
        <f t="shared" si="11"/>
        <v>0</v>
      </c>
      <c r="AB463" s="2">
        <f t="shared" si="12"/>
        <v>0</v>
      </c>
      <c r="AC463" s="2" t="str">
        <f>VLOOKUP(A463,Regions!$A$2:$B$233,2)</f>
        <v>Sub-Saharan Africa</v>
      </c>
    </row>
    <row r="464">
      <c r="AA464" s="2">
        <f>MAX(AA2:AA463)</f>
        <v>2.329253846</v>
      </c>
    </row>
  </sheetData>
  <autoFilter ref="$B$1:$B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9.88"/>
    <col customWidth="1" min="3" max="3" width="19.0"/>
    <col customWidth="1" min="4" max="5" width="21.63"/>
  </cols>
  <sheetData>
    <row r="1">
      <c r="A1" s="1" t="s">
        <v>261</v>
      </c>
      <c r="B1" s="3">
        <f>Round(Average(Data!Q2:Q463),2)</f>
        <v>4.8</v>
      </c>
    </row>
    <row r="2">
      <c r="A2" s="1" t="s">
        <v>262</v>
      </c>
      <c r="B2" s="2">
        <f>MAX(Data!Q2:Q463)</f>
        <v>5</v>
      </c>
    </row>
    <row r="3">
      <c r="A3" s="1" t="s">
        <v>263</v>
      </c>
      <c r="B3" s="2">
        <f>MIN(Data!Q2:Q463)</f>
        <v>1</v>
      </c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8">
      <c r="B28" s="1" t="s">
        <v>264</v>
      </c>
      <c r="C28" s="1" t="s">
        <v>265</v>
      </c>
      <c r="D28" s="1" t="s">
        <v>266</v>
      </c>
    </row>
    <row r="29">
      <c r="A29" s="1" t="s">
        <v>17</v>
      </c>
      <c r="B29" s="2">
        <f>AVERAGE(Data!R2:R463)</f>
        <v>0.2767441419</v>
      </c>
      <c r="C29" s="2">
        <f>MAX(Data!R2:R463)</f>
        <v>2.750326488</v>
      </c>
      <c r="D29" s="2">
        <f>MIN(Data!R2:R463)</f>
        <v>-1.021788674</v>
      </c>
    </row>
    <row r="30">
      <c r="A30" s="1" t="s">
        <v>18</v>
      </c>
      <c r="B30" s="3">
        <f>AVERAGE(Data!S2:S463)</f>
        <v>0.484493696</v>
      </c>
      <c r="C30" s="2">
        <f>MAX(Data!S2:S463)</f>
        <v>2.667882638</v>
      </c>
      <c r="D30" s="2">
        <f>MIN(Data!S2:S463)</f>
        <v>-1.22738096</v>
      </c>
    </row>
    <row r="31">
      <c r="A31" s="1" t="s">
        <v>19</v>
      </c>
      <c r="B31" s="2">
        <f>AVERAGE(Data!T2:T463)</f>
        <v>0.1548234028</v>
      </c>
      <c r="C31" s="2">
        <f>MAX(Data!T2:T463)</f>
        <v>2.668211856</v>
      </c>
      <c r="D31" s="2">
        <f>MIN(Data!T2:T463)</f>
        <v>-1.620086812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5">
      <c r="B35" s="1" t="s">
        <v>267</v>
      </c>
      <c r="C35" s="1" t="s">
        <v>268</v>
      </c>
      <c r="D35" s="1" t="s">
        <v>269</v>
      </c>
      <c r="E35" s="1" t="s">
        <v>270</v>
      </c>
      <c r="F35" s="1" t="s">
        <v>271</v>
      </c>
      <c r="G35" s="1" t="s">
        <v>272</v>
      </c>
    </row>
    <row r="36">
      <c r="A36" s="1" t="s">
        <v>273</v>
      </c>
      <c r="B36" s="2">
        <f>COUNTIF(Data!X2:X463, "full access")</f>
        <v>62</v>
      </c>
      <c r="C36" s="2">
        <f>COUNTIFS(Data!R2:R463, "=0", Data!X2:X463, "&lt;&gt;full access")</f>
        <v>16</v>
      </c>
      <c r="D36" s="2">
        <f>COUNTIFS(Data!R2:R463, "&lt;0", Data!X2:X463, "&lt;&gt;full access")</f>
        <v>16</v>
      </c>
      <c r="E36" s="2">
        <f>COUNTIFS(Data!R2:R463, "&gt;0", Data!X2:X463, "&lt;&gt;full access")</f>
        <v>135</v>
      </c>
      <c r="F36" s="2">
        <f>COUNTIF(Data!R2:R463, "null")</f>
        <v>2</v>
      </c>
      <c r="G36" s="2">
        <f t="shared" ref="G36:G38" si="1">SUM(B36:F36)</f>
        <v>231</v>
      </c>
    </row>
    <row r="37">
      <c r="A37" s="1" t="s">
        <v>274</v>
      </c>
      <c r="B37" s="2">
        <f>COUNTIF(Data!Y2:Y463, "full access")</f>
        <v>29</v>
      </c>
      <c r="C37" s="2">
        <f>COUNTIFS(Data!S2:S463, "=0", Data!Y2:Y463, "&lt;&gt;full access")</f>
        <v>5</v>
      </c>
      <c r="D37" s="2">
        <f>COUNTIFS(Data!S2:S463, "&lt;0", Data!Y2:Y463, "&lt;&gt;full access")</f>
        <v>17</v>
      </c>
      <c r="E37" s="2">
        <f>COUNTIFS(Data!S2:S463, "&gt;0", Data!Y2:Y463, "&lt;&gt;full access")</f>
        <v>116</v>
      </c>
      <c r="F37" s="2">
        <f>COUNTIF(Data!S2:S463, "null")</f>
        <v>64</v>
      </c>
      <c r="G37" s="2">
        <f t="shared" si="1"/>
        <v>231</v>
      </c>
    </row>
    <row r="38">
      <c r="A38" s="1" t="s">
        <v>275</v>
      </c>
      <c r="B38" s="2">
        <f>COUNTIF(Data!Z2:Z463, "full access")</f>
        <v>55</v>
      </c>
      <c r="C38" s="2">
        <f>COUNTIFS(Data!T2:T463, "=0", Data!Z2:Z463, "&lt;&gt;full access")</f>
        <v>7</v>
      </c>
      <c r="D38" s="2">
        <f>COUNTIFS(Data!T2:T463, "&lt;0", Data!Z2:Z463, "&lt;&gt;full access")</f>
        <v>26</v>
      </c>
      <c r="E38" s="2">
        <f>COUNTIFS(Data!T2:T463, "&gt;0", Data!Z2:Z463, "&lt;&gt;full access")</f>
        <v>93</v>
      </c>
      <c r="F38" s="2">
        <f>COUNTIF(Data!T3:T463, "null")</f>
        <v>50</v>
      </c>
      <c r="G38" s="2">
        <f t="shared" si="1"/>
        <v>231</v>
      </c>
    </row>
    <row r="57" ht="15.0" customHeight="1"/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60">
      <c r="A60" s="2" t="s">
        <v>28</v>
      </c>
      <c r="B60" s="2" t="s">
        <v>276</v>
      </c>
      <c r="C60" s="2" t="s">
        <v>277</v>
      </c>
      <c r="D60" s="2" t="s">
        <v>278</v>
      </c>
      <c r="E60" s="2" t="s">
        <v>279</v>
      </c>
    </row>
    <row r="61">
      <c r="A61" s="2" t="s">
        <v>280</v>
      </c>
      <c r="B61" s="2">
        <v>40.0</v>
      </c>
      <c r="C61" s="2">
        <v>0.27843490218750017</v>
      </c>
      <c r="D61" s="2">
        <v>0.5077948017499997</v>
      </c>
      <c r="E61" s="2">
        <v>0.23295792118518513</v>
      </c>
    </row>
    <row r="62">
      <c r="A62" s="2" t="s">
        <v>281</v>
      </c>
      <c r="B62" s="2">
        <v>64.0</v>
      </c>
      <c r="C62" s="2">
        <v>0.11168578069841299</v>
      </c>
      <c r="D62" s="2">
        <v>0.2244097083265307</v>
      </c>
      <c r="E62" s="2">
        <v>0.04699521641509444</v>
      </c>
    </row>
    <row r="63">
      <c r="A63" s="2" t="s">
        <v>282</v>
      </c>
      <c r="B63" s="2">
        <v>48.0</v>
      </c>
      <c r="C63" s="2">
        <v>0.14442485348936188</v>
      </c>
      <c r="D63" s="2">
        <v>0.6803144969565215</v>
      </c>
      <c r="E63" s="2">
        <v>0.07152159448275865</v>
      </c>
    </row>
    <row r="64">
      <c r="A64" s="2" t="s">
        <v>283</v>
      </c>
      <c r="B64" s="2">
        <v>10.0</v>
      </c>
      <c r="C64" s="2">
        <v>0.3455630233999997</v>
      </c>
      <c r="D64" s="2">
        <v>0.7369872289999998</v>
      </c>
      <c r="E64" s="2">
        <v>0.12397804499999905</v>
      </c>
    </row>
    <row r="65">
      <c r="A65" s="2" t="s">
        <v>284</v>
      </c>
      <c r="B65" s="2">
        <v>5.0</v>
      </c>
      <c r="C65" s="2">
        <v>0.017158395600000063</v>
      </c>
      <c r="D65" s="2">
        <v>0.1423313100000011</v>
      </c>
      <c r="E65" s="2">
        <v>0.002033173500000629</v>
      </c>
    </row>
    <row r="66">
      <c r="A66" s="2" t="s">
        <v>285</v>
      </c>
      <c r="B66" s="2">
        <v>11.0</v>
      </c>
      <c r="C66" s="2">
        <v>0.4802304001818177</v>
      </c>
      <c r="D66" s="2">
        <v>0.5591446267272727</v>
      </c>
      <c r="E66" s="2">
        <v>0.2654886730909096</v>
      </c>
    </row>
    <row r="67">
      <c r="A67" s="2" t="s">
        <v>286</v>
      </c>
      <c r="B67" s="2">
        <v>53.0</v>
      </c>
      <c r="C67" s="2">
        <v>0.558280820745283</v>
      </c>
      <c r="D67" s="2">
        <v>0.6042159222040817</v>
      </c>
      <c r="E67" s="2">
        <v>0.2703666708979592</v>
      </c>
    </row>
    <row r="68">
      <c r="A68" s="2" t="s">
        <v>287</v>
      </c>
      <c r="B68" s="2">
        <v>231.0</v>
      </c>
      <c r="C68" s="2">
        <v>0.2767441419170308</v>
      </c>
      <c r="D68" s="2">
        <v>0.4844936959520957</v>
      </c>
      <c r="E68" s="2">
        <v>0.15482340283977908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</row>
    <row r="2">
      <c r="A2" s="1" t="s">
        <v>29</v>
      </c>
      <c r="B2" s="1" t="s">
        <v>285</v>
      </c>
    </row>
    <row r="3">
      <c r="A3" s="1" t="s">
        <v>30</v>
      </c>
      <c r="B3" s="1" t="s">
        <v>281</v>
      </c>
    </row>
    <row r="4">
      <c r="A4" s="1" t="s">
        <v>31</v>
      </c>
      <c r="B4" s="1" t="s">
        <v>283</v>
      </c>
    </row>
    <row r="5">
      <c r="A5" s="1" t="s">
        <v>32</v>
      </c>
      <c r="B5" s="1" t="s">
        <v>280</v>
      </c>
    </row>
    <row r="6">
      <c r="A6" s="1" t="s">
        <v>34</v>
      </c>
      <c r="B6" s="1" t="s">
        <v>281</v>
      </c>
    </row>
    <row r="7">
      <c r="A7" s="1" t="s">
        <v>35</v>
      </c>
      <c r="B7" s="1" t="s">
        <v>286</v>
      </c>
    </row>
    <row r="8">
      <c r="A8" s="1" t="s">
        <v>36</v>
      </c>
      <c r="B8" s="1" t="s">
        <v>282</v>
      </c>
    </row>
    <row r="9">
      <c r="A9" s="1" t="s">
        <v>37</v>
      </c>
      <c r="B9" s="1" t="s">
        <v>282</v>
      </c>
    </row>
    <row r="10">
      <c r="A10" s="1" t="s">
        <v>38</v>
      </c>
      <c r="B10" s="1" t="s">
        <v>282</v>
      </c>
    </row>
    <row r="11">
      <c r="A11" s="1" t="s">
        <v>39</v>
      </c>
      <c r="B11" s="1" t="s">
        <v>281</v>
      </c>
    </row>
    <row r="12">
      <c r="A12" s="1" t="s">
        <v>40</v>
      </c>
      <c r="B12" s="1" t="s">
        <v>282</v>
      </c>
    </row>
    <row r="13">
      <c r="A13" s="1" t="s">
        <v>41</v>
      </c>
      <c r="B13" s="1" t="s">
        <v>280</v>
      </c>
    </row>
    <row r="14">
      <c r="A14" s="1" t="s">
        <v>42</v>
      </c>
      <c r="B14" s="1" t="s">
        <v>281</v>
      </c>
    </row>
    <row r="15">
      <c r="A15" s="1" t="s">
        <v>43</v>
      </c>
      <c r="B15" s="1" t="s">
        <v>281</v>
      </c>
    </row>
    <row r="16">
      <c r="A16" s="1" t="s">
        <v>44</v>
      </c>
      <c r="B16" s="1" t="s">
        <v>282</v>
      </c>
    </row>
    <row r="17">
      <c r="A17" s="1" t="s">
        <v>45</v>
      </c>
      <c r="B17" s="1" t="s">
        <v>281</v>
      </c>
    </row>
    <row r="18">
      <c r="A18" s="1" t="s">
        <v>46</v>
      </c>
      <c r="B18" s="1" t="s">
        <v>285</v>
      </c>
    </row>
    <row r="19">
      <c r="A19" s="1" t="s">
        <v>47</v>
      </c>
      <c r="B19" s="1" t="s">
        <v>282</v>
      </c>
    </row>
    <row r="20">
      <c r="A20" s="1" t="s">
        <v>48</v>
      </c>
      <c r="B20" s="1" t="s">
        <v>281</v>
      </c>
    </row>
    <row r="21">
      <c r="A21" s="1" t="s">
        <v>49</v>
      </c>
      <c r="B21" s="1" t="s">
        <v>281</v>
      </c>
    </row>
    <row r="22">
      <c r="A22" s="1" t="s">
        <v>50</v>
      </c>
      <c r="B22" s="1" t="s">
        <v>282</v>
      </c>
    </row>
    <row r="23">
      <c r="A23" s="1" t="s">
        <v>51</v>
      </c>
      <c r="B23" s="1" t="s">
        <v>286</v>
      </c>
    </row>
    <row r="24">
      <c r="A24" s="1" t="s">
        <v>52</v>
      </c>
      <c r="B24" s="1" t="s">
        <v>284</v>
      </c>
    </row>
    <row r="25">
      <c r="A25" s="1" t="s">
        <v>53</v>
      </c>
      <c r="B25" s="1" t="s">
        <v>285</v>
      </c>
    </row>
    <row r="26">
      <c r="A26" s="1" t="s">
        <v>54</v>
      </c>
      <c r="B26" s="1" t="s">
        <v>282</v>
      </c>
    </row>
    <row r="27">
      <c r="A27" s="1" t="s">
        <v>55</v>
      </c>
      <c r="B27" s="1" t="s">
        <v>281</v>
      </c>
    </row>
    <row r="28">
      <c r="A28" s="1" t="s">
        <v>56</v>
      </c>
      <c r="B28" s="1" t="s">
        <v>286</v>
      </c>
    </row>
    <row r="29">
      <c r="A29" s="1" t="s">
        <v>57</v>
      </c>
      <c r="B29" s="1" t="s">
        <v>282</v>
      </c>
    </row>
    <row r="30">
      <c r="A30" s="1" t="s">
        <v>58</v>
      </c>
      <c r="B30" s="1" t="s">
        <v>282</v>
      </c>
    </row>
    <row r="31">
      <c r="A31" s="1" t="s">
        <v>59</v>
      </c>
      <c r="B31" s="1" t="s">
        <v>280</v>
      </c>
    </row>
    <row r="32">
      <c r="A32" s="1" t="s">
        <v>60</v>
      </c>
      <c r="B32" s="1" t="s">
        <v>281</v>
      </c>
    </row>
    <row r="33">
      <c r="A33" s="1" t="s">
        <v>61</v>
      </c>
      <c r="B33" s="1" t="s">
        <v>286</v>
      </c>
    </row>
    <row r="34">
      <c r="A34" s="1" t="s">
        <v>62</v>
      </c>
      <c r="B34" s="1" t="s">
        <v>286</v>
      </c>
    </row>
    <row r="35">
      <c r="A35" s="1" t="s">
        <v>63</v>
      </c>
      <c r="B35" s="1" t="s">
        <v>286</v>
      </c>
    </row>
    <row r="36">
      <c r="A36" s="1" t="s">
        <v>64</v>
      </c>
      <c r="B36" s="1" t="s">
        <v>280</v>
      </c>
    </row>
    <row r="37">
      <c r="A37" s="1" t="s">
        <v>65</v>
      </c>
      <c r="B37" s="1" t="s">
        <v>286</v>
      </c>
    </row>
    <row r="38">
      <c r="A38" s="1" t="s">
        <v>66</v>
      </c>
      <c r="B38" s="1" t="s">
        <v>284</v>
      </c>
    </row>
    <row r="39">
      <c r="A39" s="1" t="s">
        <v>67</v>
      </c>
      <c r="B39" s="1" t="s">
        <v>282</v>
      </c>
    </row>
    <row r="40">
      <c r="A40" s="1" t="s">
        <v>68</v>
      </c>
      <c r="B40" s="1" t="s">
        <v>286</v>
      </c>
    </row>
    <row r="41">
      <c r="A41" s="1" t="s">
        <v>69</v>
      </c>
      <c r="B41" s="1" t="s">
        <v>286</v>
      </c>
    </row>
    <row r="42">
      <c r="A42" s="1" t="s">
        <v>70</v>
      </c>
      <c r="B42" s="1" t="s">
        <v>281</v>
      </c>
    </row>
    <row r="43">
      <c r="A43" s="1" t="s">
        <v>71</v>
      </c>
      <c r="B43" s="1" t="s">
        <v>282</v>
      </c>
    </row>
    <row r="44">
      <c r="A44" s="1" t="s">
        <v>72</v>
      </c>
      <c r="B44" s="1" t="s">
        <v>280</v>
      </c>
    </row>
    <row r="45">
      <c r="A45" s="1" t="s">
        <v>73</v>
      </c>
      <c r="B45" s="1" t="s">
        <v>280</v>
      </c>
    </row>
    <row r="46">
      <c r="A46" s="1" t="s">
        <v>74</v>
      </c>
      <c r="B46" s="1" t="s">
        <v>280</v>
      </c>
    </row>
    <row r="47">
      <c r="A47" s="1" t="s">
        <v>75</v>
      </c>
      <c r="B47" s="1" t="s">
        <v>282</v>
      </c>
    </row>
    <row r="48">
      <c r="A48" s="1" t="s">
        <v>76</v>
      </c>
      <c r="B48" s="1" t="s">
        <v>286</v>
      </c>
    </row>
    <row r="49">
      <c r="A49" s="1" t="s">
        <v>77</v>
      </c>
      <c r="B49" s="1" t="s">
        <v>286</v>
      </c>
    </row>
    <row r="50">
      <c r="A50" s="1" t="s">
        <v>78</v>
      </c>
      <c r="B50" s="1" t="s">
        <v>280</v>
      </c>
    </row>
    <row r="51">
      <c r="A51" s="1" t="s">
        <v>79</v>
      </c>
      <c r="B51" s="1" t="s">
        <v>282</v>
      </c>
    </row>
    <row r="52">
      <c r="A52" s="1" t="s">
        <v>80</v>
      </c>
      <c r="B52" s="1" t="s">
        <v>286</v>
      </c>
    </row>
    <row r="53">
      <c r="A53" s="1" t="s">
        <v>81</v>
      </c>
      <c r="B53" s="1" t="s">
        <v>281</v>
      </c>
    </row>
    <row r="54">
      <c r="A54" s="1" t="s">
        <v>82</v>
      </c>
      <c r="B54" s="1" t="s">
        <v>282</v>
      </c>
    </row>
    <row r="55">
      <c r="A55" s="1" t="s">
        <v>83</v>
      </c>
      <c r="B55" s="1" t="s">
        <v>282</v>
      </c>
    </row>
    <row r="56">
      <c r="A56" s="1" t="s">
        <v>84</v>
      </c>
      <c r="B56" s="1" t="s">
        <v>281</v>
      </c>
    </row>
    <row r="57">
      <c r="A57" s="1" t="s">
        <v>85</v>
      </c>
      <c r="B57" s="1" t="s">
        <v>281</v>
      </c>
    </row>
    <row r="58">
      <c r="A58" s="1" t="s">
        <v>86</v>
      </c>
      <c r="B58" s="1" t="s">
        <v>280</v>
      </c>
    </row>
    <row r="59">
      <c r="A59" s="1" t="s">
        <v>87</v>
      </c>
      <c r="B59" s="1" t="s">
        <v>286</v>
      </c>
    </row>
    <row r="60">
      <c r="A60" s="1" t="s">
        <v>88</v>
      </c>
      <c r="B60" s="1" t="s">
        <v>281</v>
      </c>
    </row>
    <row r="61">
      <c r="A61" s="1" t="s">
        <v>89</v>
      </c>
      <c r="B61" s="1" t="s">
        <v>286</v>
      </c>
    </row>
    <row r="62">
      <c r="A62" s="1" t="s">
        <v>90</v>
      </c>
      <c r="B62" s="1" t="s">
        <v>282</v>
      </c>
    </row>
    <row r="63">
      <c r="A63" s="1" t="s">
        <v>91</v>
      </c>
      <c r="B63" s="1" t="s">
        <v>282</v>
      </c>
    </row>
    <row r="64">
      <c r="A64" s="1" t="s">
        <v>92</v>
      </c>
      <c r="B64" s="1" t="s">
        <v>282</v>
      </c>
    </row>
    <row r="65">
      <c r="A65" s="1" t="s">
        <v>93</v>
      </c>
      <c r="B65" s="1" t="s">
        <v>283</v>
      </c>
    </row>
    <row r="66">
      <c r="A66" s="1" t="s">
        <v>94</v>
      </c>
      <c r="B66" s="1" t="s">
        <v>282</v>
      </c>
    </row>
    <row r="67">
      <c r="A67" s="1" t="s">
        <v>95</v>
      </c>
      <c r="B67" s="1" t="s">
        <v>286</v>
      </c>
    </row>
    <row r="68">
      <c r="A68" s="1" t="s">
        <v>96</v>
      </c>
      <c r="B68" s="1" t="s">
        <v>286</v>
      </c>
    </row>
    <row r="69">
      <c r="A69" s="1" t="s">
        <v>97</v>
      </c>
      <c r="B69" s="1" t="s">
        <v>281</v>
      </c>
    </row>
    <row r="70">
      <c r="A70" s="1" t="s">
        <v>98</v>
      </c>
      <c r="B70" s="1" t="s">
        <v>286</v>
      </c>
    </row>
    <row r="71">
      <c r="A71" s="1" t="s">
        <v>99</v>
      </c>
      <c r="B71" s="1" t="s">
        <v>286</v>
      </c>
    </row>
    <row r="72">
      <c r="A72" s="1" t="s">
        <v>100</v>
      </c>
      <c r="B72" s="1" t="s">
        <v>281</v>
      </c>
    </row>
    <row r="73">
      <c r="A73" s="1" t="s">
        <v>101</v>
      </c>
      <c r="B73" s="1" t="s">
        <v>282</v>
      </c>
    </row>
    <row r="74">
      <c r="A74" s="1" t="s">
        <v>102</v>
      </c>
      <c r="B74" s="1" t="s">
        <v>280</v>
      </c>
    </row>
    <row r="75">
      <c r="A75" s="1" t="s">
        <v>103</v>
      </c>
      <c r="B75" s="1" t="s">
        <v>281</v>
      </c>
    </row>
    <row r="76">
      <c r="A76" s="1" t="s">
        <v>104</v>
      </c>
      <c r="B76" s="1" t="s">
        <v>281</v>
      </c>
    </row>
    <row r="77">
      <c r="A77" s="1" t="s">
        <v>105</v>
      </c>
      <c r="B77" s="1" t="s">
        <v>282</v>
      </c>
    </row>
    <row r="78">
      <c r="A78" s="1" t="s">
        <v>106</v>
      </c>
      <c r="B78" s="1" t="s">
        <v>280</v>
      </c>
    </row>
    <row r="79">
      <c r="A79" s="1" t="s">
        <v>107</v>
      </c>
      <c r="B79" s="1" t="s">
        <v>286</v>
      </c>
    </row>
    <row r="80">
      <c r="A80" s="1" t="s">
        <v>108</v>
      </c>
      <c r="B80" s="1" t="s">
        <v>286</v>
      </c>
    </row>
    <row r="81">
      <c r="A81" s="1" t="s">
        <v>109</v>
      </c>
      <c r="B81" s="1" t="s">
        <v>281</v>
      </c>
    </row>
    <row r="82">
      <c r="A82" s="1" t="s">
        <v>110</v>
      </c>
      <c r="B82" s="1" t="s">
        <v>281</v>
      </c>
    </row>
    <row r="83">
      <c r="A83" s="1" t="s">
        <v>111</v>
      </c>
      <c r="B83" s="1" t="s">
        <v>286</v>
      </c>
    </row>
    <row r="84">
      <c r="A84" s="1" t="s">
        <v>112</v>
      </c>
      <c r="B84" s="1" t="s">
        <v>281</v>
      </c>
    </row>
    <row r="85">
      <c r="A85" s="1" t="s">
        <v>113</v>
      </c>
      <c r="B85" s="1" t="s">
        <v>281</v>
      </c>
    </row>
    <row r="86">
      <c r="A86" s="1" t="s">
        <v>114</v>
      </c>
      <c r="B86" s="1" t="s">
        <v>284</v>
      </c>
    </row>
    <row r="87">
      <c r="A87" s="1" t="s">
        <v>115</v>
      </c>
      <c r="B87" s="1" t="s">
        <v>282</v>
      </c>
    </row>
    <row r="88">
      <c r="A88" s="1" t="s">
        <v>116</v>
      </c>
      <c r="B88" s="1" t="s">
        <v>282</v>
      </c>
    </row>
    <row r="89">
      <c r="A89" s="1" t="s">
        <v>117</v>
      </c>
      <c r="B89" s="1" t="s">
        <v>280</v>
      </c>
    </row>
    <row r="90">
      <c r="A90" s="1" t="s">
        <v>118</v>
      </c>
      <c r="B90" s="1" t="s">
        <v>282</v>
      </c>
    </row>
    <row r="91">
      <c r="A91" s="1" t="s">
        <v>119</v>
      </c>
      <c r="B91" s="1" t="s">
        <v>286</v>
      </c>
    </row>
    <row r="92">
      <c r="A92" s="1" t="s">
        <v>120</v>
      </c>
      <c r="B92" s="1" t="s">
        <v>286</v>
      </c>
    </row>
    <row r="93">
      <c r="A93" s="1" t="s">
        <v>121</v>
      </c>
      <c r="B93" s="1" t="s">
        <v>282</v>
      </c>
    </row>
    <row r="94">
      <c r="A94" s="1" t="s">
        <v>122</v>
      </c>
      <c r="B94" s="1" t="s">
        <v>286</v>
      </c>
    </row>
    <row r="95">
      <c r="A95" s="1" t="s">
        <v>123</v>
      </c>
      <c r="B95" s="1" t="s">
        <v>282</v>
      </c>
    </row>
    <row r="96">
      <c r="A96" s="1" t="s">
        <v>124</v>
      </c>
      <c r="B96" s="1" t="s">
        <v>281</v>
      </c>
    </row>
    <row r="97">
      <c r="A97" s="1" t="s">
        <v>125</v>
      </c>
      <c r="B97" s="1" t="s">
        <v>281</v>
      </c>
    </row>
    <row r="98">
      <c r="A98" s="1" t="s">
        <v>126</v>
      </c>
      <c r="B98" s="1" t="s">
        <v>285</v>
      </c>
    </row>
    <row r="99">
      <c r="A99" s="1" t="s">
        <v>127</v>
      </c>
      <c r="B99" s="1" t="s">
        <v>280</v>
      </c>
    </row>
    <row r="100">
      <c r="A100" s="1" t="s">
        <v>128</v>
      </c>
      <c r="B100" s="1" t="s">
        <v>285</v>
      </c>
    </row>
    <row r="101">
      <c r="A101" s="1" t="s">
        <v>129</v>
      </c>
      <c r="B101" s="1" t="s">
        <v>283</v>
      </c>
    </row>
    <row r="102">
      <c r="A102" s="1" t="s">
        <v>130</v>
      </c>
      <c r="B102" s="1" t="s">
        <v>281</v>
      </c>
    </row>
    <row r="103">
      <c r="A103" s="1" t="s">
        <v>131</v>
      </c>
      <c r="B103" s="1" t="s">
        <v>281</v>
      </c>
    </row>
    <row r="104">
      <c r="A104" s="1" t="s">
        <v>132</v>
      </c>
      <c r="B104" s="1" t="s">
        <v>281</v>
      </c>
    </row>
    <row r="105">
      <c r="A105" s="1" t="s">
        <v>133</v>
      </c>
      <c r="B105" s="1" t="s">
        <v>281</v>
      </c>
    </row>
    <row r="106">
      <c r="A106" s="1" t="s">
        <v>134</v>
      </c>
      <c r="B106" s="1" t="s">
        <v>282</v>
      </c>
    </row>
    <row r="107">
      <c r="A107" s="1" t="s">
        <v>135</v>
      </c>
      <c r="B107" s="1" t="s">
        <v>280</v>
      </c>
    </row>
    <row r="108">
      <c r="A108" s="1" t="s">
        <v>136</v>
      </c>
      <c r="B108" s="1" t="s">
        <v>283</v>
      </c>
    </row>
    <row r="109">
      <c r="A109" s="1" t="s">
        <v>137</v>
      </c>
      <c r="B109" s="1" t="s">
        <v>281</v>
      </c>
    </row>
    <row r="110">
      <c r="A110" s="1" t="s">
        <v>138</v>
      </c>
      <c r="B110" s="1" t="s">
        <v>286</v>
      </c>
    </row>
    <row r="111">
      <c r="A111" s="1" t="s">
        <v>139</v>
      </c>
      <c r="B111" s="1" t="s">
        <v>280</v>
      </c>
    </row>
    <row r="112">
      <c r="A112" s="1" t="s">
        <v>140</v>
      </c>
      <c r="B112" s="1" t="s">
        <v>283</v>
      </c>
    </row>
    <row r="113">
      <c r="A113" s="1" t="s">
        <v>141</v>
      </c>
      <c r="B113" s="1" t="s">
        <v>281</v>
      </c>
    </row>
    <row r="114">
      <c r="A114" s="1" t="s">
        <v>142</v>
      </c>
      <c r="B114" s="1" t="s">
        <v>280</v>
      </c>
    </row>
    <row r="115">
      <c r="A115" s="1" t="s">
        <v>143</v>
      </c>
      <c r="B115" s="1" t="s">
        <v>281</v>
      </c>
    </row>
    <row r="116">
      <c r="A116" s="1" t="s">
        <v>144</v>
      </c>
      <c r="B116" s="1" t="s">
        <v>283</v>
      </c>
    </row>
    <row r="117">
      <c r="A117" s="1" t="s">
        <v>145</v>
      </c>
      <c r="B117" s="1" t="s">
        <v>286</v>
      </c>
    </row>
    <row r="118">
      <c r="A118" s="1" t="s">
        <v>146</v>
      </c>
      <c r="B118" s="1" t="s">
        <v>286</v>
      </c>
    </row>
    <row r="119">
      <c r="A119" s="1" t="s">
        <v>147</v>
      </c>
      <c r="B119" s="1" t="s">
        <v>286</v>
      </c>
    </row>
    <row r="120">
      <c r="A120" s="1" t="s">
        <v>148</v>
      </c>
      <c r="B120" s="1" t="s">
        <v>281</v>
      </c>
    </row>
    <row r="121">
      <c r="A121" s="1" t="s">
        <v>149</v>
      </c>
      <c r="B121" s="1" t="s">
        <v>281</v>
      </c>
    </row>
    <row r="122">
      <c r="A122" s="1" t="s">
        <v>150</v>
      </c>
      <c r="B122" s="1" t="s">
        <v>281</v>
      </c>
    </row>
    <row r="123">
      <c r="A123" s="1" t="s">
        <v>151</v>
      </c>
      <c r="B123" s="1" t="s">
        <v>286</v>
      </c>
    </row>
    <row r="124">
      <c r="A124" s="1" t="s">
        <v>152</v>
      </c>
      <c r="B124" s="1" t="s">
        <v>286</v>
      </c>
    </row>
    <row r="125">
      <c r="A125" s="1" t="s">
        <v>153</v>
      </c>
      <c r="B125" s="1" t="s">
        <v>285</v>
      </c>
    </row>
    <row r="126">
      <c r="A126" s="1" t="s">
        <v>154</v>
      </c>
      <c r="B126" s="1" t="s">
        <v>285</v>
      </c>
    </row>
    <row r="127">
      <c r="A127" s="1" t="s">
        <v>155</v>
      </c>
      <c r="B127" s="1" t="s">
        <v>286</v>
      </c>
    </row>
    <row r="128">
      <c r="A128" s="1" t="s">
        <v>156</v>
      </c>
      <c r="B128" s="1" t="s">
        <v>281</v>
      </c>
    </row>
    <row r="129">
      <c r="A129" s="1" t="s">
        <v>157</v>
      </c>
      <c r="B129" s="1" t="s">
        <v>280</v>
      </c>
    </row>
    <row r="130">
      <c r="A130" s="1" t="s">
        <v>158</v>
      </c>
      <c r="B130" s="1" t="s">
        <v>282</v>
      </c>
    </row>
    <row r="131">
      <c r="A131" s="1" t="s">
        <v>159</v>
      </c>
      <c r="B131" s="1" t="s">
        <v>286</v>
      </c>
    </row>
    <row r="132">
      <c r="A132" s="1" t="s">
        <v>160</v>
      </c>
      <c r="B132" s="1" t="s">
        <v>286</v>
      </c>
    </row>
    <row r="133">
      <c r="A133" s="1" t="s">
        <v>161</v>
      </c>
      <c r="B133" s="1" t="s">
        <v>286</v>
      </c>
    </row>
    <row r="134">
      <c r="A134" s="1" t="s">
        <v>162</v>
      </c>
      <c r="B134" s="1" t="s">
        <v>282</v>
      </c>
    </row>
    <row r="135">
      <c r="A135" s="1" t="s">
        <v>163</v>
      </c>
      <c r="B135" s="1" t="s">
        <v>280</v>
      </c>
    </row>
    <row r="136">
      <c r="A136" s="1" t="s">
        <v>164</v>
      </c>
      <c r="B136" s="1" t="s">
        <v>281</v>
      </c>
    </row>
    <row r="137">
      <c r="A137" s="1" t="s">
        <v>165</v>
      </c>
      <c r="B137" s="1" t="s">
        <v>280</v>
      </c>
    </row>
    <row r="138">
      <c r="A138" s="1" t="s">
        <v>166</v>
      </c>
      <c r="B138" s="1" t="s">
        <v>281</v>
      </c>
    </row>
    <row r="139">
      <c r="A139" s="1" t="s">
        <v>167</v>
      </c>
      <c r="B139" s="1" t="s">
        <v>282</v>
      </c>
    </row>
    <row r="140">
      <c r="A140" s="1" t="s">
        <v>168</v>
      </c>
      <c r="B140" s="1" t="s">
        <v>283</v>
      </c>
    </row>
    <row r="141">
      <c r="A141" s="1" t="s">
        <v>169</v>
      </c>
      <c r="B141" s="1" t="s">
        <v>286</v>
      </c>
    </row>
    <row r="142">
      <c r="A142" s="1" t="s">
        <v>170</v>
      </c>
      <c r="B142" s="1" t="s">
        <v>280</v>
      </c>
    </row>
    <row r="143">
      <c r="A143" s="1" t="s">
        <v>171</v>
      </c>
      <c r="B143" s="1" t="s">
        <v>286</v>
      </c>
    </row>
    <row r="144">
      <c r="A144" s="1" t="s">
        <v>172</v>
      </c>
      <c r="B144" s="1" t="s">
        <v>280</v>
      </c>
    </row>
    <row r="145">
      <c r="A145" s="1" t="s">
        <v>173</v>
      </c>
      <c r="B145" s="1" t="s">
        <v>285</v>
      </c>
    </row>
    <row r="146">
      <c r="A146" s="1" t="s">
        <v>174</v>
      </c>
      <c r="B146" s="1" t="s">
        <v>281</v>
      </c>
    </row>
    <row r="147">
      <c r="A147" s="1" t="s">
        <v>175</v>
      </c>
      <c r="B147" s="1" t="s">
        <v>280</v>
      </c>
    </row>
    <row r="148">
      <c r="A148" s="1" t="s">
        <v>176</v>
      </c>
      <c r="B148" s="1" t="s">
        <v>280</v>
      </c>
    </row>
    <row r="149">
      <c r="A149" s="1" t="s">
        <v>177</v>
      </c>
      <c r="B149" s="1" t="s">
        <v>282</v>
      </c>
    </row>
    <row r="150">
      <c r="A150" s="1" t="s">
        <v>178</v>
      </c>
      <c r="B150" s="1" t="s">
        <v>286</v>
      </c>
    </row>
    <row r="151">
      <c r="A151" s="1" t="s">
        <v>179</v>
      </c>
      <c r="B151" s="1" t="s">
        <v>286</v>
      </c>
    </row>
    <row r="152">
      <c r="A152" s="1" t="s">
        <v>180</v>
      </c>
      <c r="B152" s="1" t="s">
        <v>280</v>
      </c>
    </row>
    <row r="153">
      <c r="A153" s="1" t="s">
        <v>181</v>
      </c>
      <c r="B153" s="1" t="s">
        <v>281</v>
      </c>
    </row>
    <row r="154">
      <c r="A154" s="1" t="s">
        <v>182</v>
      </c>
      <c r="B154" s="1" t="s">
        <v>280</v>
      </c>
    </row>
    <row r="155">
      <c r="A155" s="1" t="s">
        <v>183</v>
      </c>
      <c r="B155" s="1" t="s">
        <v>281</v>
      </c>
    </row>
    <row r="156">
      <c r="A156" s="1" t="s">
        <v>184</v>
      </c>
      <c r="B156" s="1" t="s">
        <v>283</v>
      </c>
    </row>
    <row r="157">
      <c r="A157" s="1" t="s">
        <v>185</v>
      </c>
      <c r="B157" s="1" t="s">
        <v>285</v>
      </c>
    </row>
    <row r="158">
      <c r="A158" s="1" t="s">
        <v>186</v>
      </c>
      <c r="B158" s="1" t="s">
        <v>280</v>
      </c>
    </row>
    <row r="159">
      <c r="A159" s="1" t="s">
        <v>187</v>
      </c>
      <c r="B159" s="1" t="s">
        <v>282</v>
      </c>
    </row>
    <row r="160">
      <c r="A160" s="1" t="s">
        <v>188</v>
      </c>
      <c r="B160" s="1" t="s">
        <v>280</v>
      </c>
    </row>
    <row r="161">
      <c r="A161" s="1" t="s">
        <v>189</v>
      </c>
      <c r="B161" s="1" t="s">
        <v>282</v>
      </c>
    </row>
    <row r="162">
      <c r="A162" s="1" t="s">
        <v>190</v>
      </c>
      <c r="B162" s="1" t="s">
        <v>282</v>
      </c>
    </row>
    <row r="163">
      <c r="A163" s="1" t="s">
        <v>191</v>
      </c>
      <c r="B163" s="1" t="s">
        <v>285</v>
      </c>
    </row>
    <row r="164">
      <c r="A164" s="1" t="s">
        <v>192</v>
      </c>
      <c r="B164" s="1" t="s">
        <v>281</v>
      </c>
    </row>
    <row r="165">
      <c r="A165" s="1" t="s">
        <v>193</v>
      </c>
      <c r="B165" s="1" t="s">
        <v>281</v>
      </c>
    </row>
    <row r="166">
      <c r="A166" s="1" t="s">
        <v>194</v>
      </c>
      <c r="B166" s="1" t="s">
        <v>282</v>
      </c>
    </row>
    <row r="167">
      <c r="A167" s="1" t="s">
        <v>195</v>
      </c>
      <c r="B167" s="1" t="s">
        <v>281</v>
      </c>
    </row>
    <row r="168">
      <c r="A168" s="1" t="s">
        <v>196</v>
      </c>
      <c r="B168" s="1" t="s">
        <v>280</v>
      </c>
    </row>
    <row r="169">
      <c r="A169" s="1" t="s">
        <v>197</v>
      </c>
      <c r="B169" s="1" t="s">
        <v>281</v>
      </c>
    </row>
    <row r="170">
      <c r="A170" s="1" t="s">
        <v>198</v>
      </c>
      <c r="B170" s="1" t="s">
        <v>286</v>
      </c>
    </row>
    <row r="171">
      <c r="A171" s="1" t="s">
        <v>199</v>
      </c>
      <c r="B171" s="1" t="s">
        <v>281</v>
      </c>
    </row>
    <row r="172">
      <c r="A172" s="1" t="s">
        <v>200</v>
      </c>
      <c r="B172" s="1" t="s">
        <v>281</v>
      </c>
    </row>
    <row r="173">
      <c r="A173" s="1" t="s">
        <v>201</v>
      </c>
      <c r="B173" s="1" t="s">
        <v>286</v>
      </c>
    </row>
    <row r="174">
      <c r="A174" s="1" t="s">
        <v>202</v>
      </c>
      <c r="B174" s="1" t="s">
        <v>282</v>
      </c>
    </row>
    <row r="175">
      <c r="A175" s="1" t="s">
        <v>203</v>
      </c>
      <c r="B175" s="1" t="s">
        <v>286</v>
      </c>
    </row>
    <row r="176">
      <c r="A176" s="1" t="s">
        <v>204</v>
      </c>
      <c r="B176" s="1" t="s">
        <v>282</v>
      </c>
    </row>
    <row r="177">
      <c r="A177" s="1" t="s">
        <v>205</v>
      </c>
      <c r="B177" s="1" t="s">
        <v>282</v>
      </c>
    </row>
    <row r="178">
      <c r="A178" s="1" t="s">
        <v>206</v>
      </c>
      <c r="B178" s="1" t="s">
        <v>282</v>
      </c>
    </row>
    <row r="179">
      <c r="A179" s="1" t="s">
        <v>207</v>
      </c>
      <c r="B179" s="1" t="s">
        <v>284</v>
      </c>
    </row>
    <row r="180">
      <c r="A180" s="1" t="s">
        <v>208</v>
      </c>
      <c r="B180" s="1" t="s">
        <v>282</v>
      </c>
    </row>
    <row r="181">
      <c r="A181" s="1" t="s">
        <v>209</v>
      </c>
      <c r="B181" s="1" t="s">
        <v>280</v>
      </c>
    </row>
    <row r="182">
      <c r="A182" s="1" t="s">
        <v>210</v>
      </c>
      <c r="B182" s="1" t="s">
        <v>281</v>
      </c>
    </row>
    <row r="183">
      <c r="A183" s="1" t="s">
        <v>211</v>
      </c>
      <c r="B183" s="1" t="s">
        <v>286</v>
      </c>
    </row>
    <row r="184">
      <c r="A184" s="1" t="s">
        <v>212</v>
      </c>
      <c r="B184" s="1" t="s">
        <v>281</v>
      </c>
    </row>
    <row r="185">
      <c r="A185" s="1" t="s">
        <v>213</v>
      </c>
      <c r="B185" s="1" t="s">
        <v>286</v>
      </c>
    </row>
    <row r="186">
      <c r="A186" s="1" t="s">
        <v>214</v>
      </c>
      <c r="B186" s="1" t="s">
        <v>281</v>
      </c>
    </row>
    <row r="187">
      <c r="A187" s="1" t="s">
        <v>215</v>
      </c>
      <c r="B187" s="1" t="s">
        <v>280</v>
      </c>
    </row>
    <row r="188">
      <c r="A188" s="1" t="s">
        <v>216</v>
      </c>
      <c r="B188" s="1" t="s">
        <v>286</v>
      </c>
    </row>
    <row r="189">
      <c r="A189" s="1" t="s">
        <v>217</v>
      </c>
      <c r="B189" s="1" t="s">
        <v>280</v>
      </c>
    </row>
    <row r="190">
      <c r="A190" s="1" t="s">
        <v>218</v>
      </c>
      <c r="B190" s="1" t="s">
        <v>282</v>
      </c>
    </row>
    <row r="191">
      <c r="A191" s="1" t="s">
        <v>219</v>
      </c>
      <c r="B191" s="1" t="s">
        <v>281</v>
      </c>
    </row>
    <row r="192">
      <c r="A192" s="1" t="s">
        <v>220</v>
      </c>
      <c r="B192" s="1" t="s">
        <v>281</v>
      </c>
    </row>
    <row r="193">
      <c r="A193" s="1" t="s">
        <v>221</v>
      </c>
      <c r="B193" s="1" t="s">
        <v>280</v>
      </c>
    </row>
    <row r="194">
      <c r="A194" s="1" t="s">
        <v>222</v>
      </c>
      <c r="B194" s="1" t="s">
        <v>286</v>
      </c>
    </row>
    <row r="195">
      <c r="A195" s="1" t="s">
        <v>223</v>
      </c>
      <c r="B195" s="1" t="s">
        <v>286</v>
      </c>
    </row>
    <row r="196">
      <c r="A196" s="1" t="s">
        <v>224</v>
      </c>
      <c r="B196" s="1" t="s">
        <v>286</v>
      </c>
    </row>
    <row r="197">
      <c r="A197" s="1" t="s">
        <v>225</v>
      </c>
      <c r="B197" s="1" t="s">
        <v>281</v>
      </c>
    </row>
    <row r="198">
      <c r="A198" s="1" t="s">
        <v>226</v>
      </c>
      <c r="B198" s="1" t="s">
        <v>285</v>
      </c>
    </row>
    <row r="199">
      <c r="A199" s="1" t="s">
        <v>227</v>
      </c>
      <c r="B199" s="1" t="s">
        <v>283</v>
      </c>
    </row>
    <row r="200">
      <c r="A200" s="1" t="s">
        <v>228</v>
      </c>
      <c r="B200" s="1" t="s">
        <v>282</v>
      </c>
    </row>
    <row r="201">
      <c r="A201" s="1" t="s">
        <v>229</v>
      </c>
      <c r="B201" s="1" t="s">
        <v>281</v>
      </c>
    </row>
    <row r="202">
      <c r="A202" s="1" t="s">
        <v>230</v>
      </c>
      <c r="B202" s="1" t="s">
        <v>281</v>
      </c>
    </row>
    <row r="203">
      <c r="A203" s="1" t="s">
        <v>231</v>
      </c>
      <c r="B203" s="1" t="s">
        <v>283</v>
      </c>
    </row>
    <row r="204">
      <c r="A204" s="1" t="s">
        <v>232</v>
      </c>
      <c r="B204" s="1" t="s">
        <v>281</v>
      </c>
    </row>
    <row r="205">
      <c r="A205" s="1" t="s">
        <v>233</v>
      </c>
      <c r="B205" s="1" t="s">
        <v>280</v>
      </c>
    </row>
    <row r="206">
      <c r="A206" s="1" t="s">
        <v>234</v>
      </c>
      <c r="B206" s="1" t="s">
        <v>280</v>
      </c>
    </row>
    <row r="207">
      <c r="A207" s="1" t="s">
        <v>235</v>
      </c>
      <c r="B207" s="1" t="s">
        <v>286</v>
      </c>
    </row>
    <row r="208">
      <c r="A208" s="1" t="s">
        <v>236</v>
      </c>
      <c r="B208" s="1" t="s">
        <v>280</v>
      </c>
    </row>
    <row r="209">
      <c r="A209" s="1" t="s">
        <v>237</v>
      </c>
      <c r="B209" s="1" t="s">
        <v>280</v>
      </c>
    </row>
    <row r="210">
      <c r="A210" s="1" t="s">
        <v>238</v>
      </c>
      <c r="B210" s="1" t="s">
        <v>282</v>
      </c>
    </row>
    <row r="211">
      <c r="A211" s="1" t="s">
        <v>239</v>
      </c>
      <c r="B211" s="1" t="s">
        <v>286</v>
      </c>
    </row>
    <row r="212">
      <c r="A212" s="1" t="s">
        <v>240</v>
      </c>
      <c r="B212" s="1" t="s">
        <v>281</v>
      </c>
    </row>
    <row r="213">
      <c r="A213" s="1" t="s">
        <v>241</v>
      </c>
      <c r="B213" s="1" t="s">
        <v>281</v>
      </c>
    </row>
    <row r="214">
      <c r="A214" s="1" t="s">
        <v>242</v>
      </c>
      <c r="B214" s="1" t="s">
        <v>282</v>
      </c>
    </row>
    <row r="215">
      <c r="A215" s="1" t="s">
        <v>243</v>
      </c>
      <c r="B215" s="1" t="s">
        <v>280</v>
      </c>
    </row>
    <row r="216">
      <c r="A216" s="1" t="s">
        <v>244</v>
      </c>
      <c r="B216" s="1" t="s">
        <v>286</v>
      </c>
    </row>
    <row r="217">
      <c r="A217" s="1" t="s">
        <v>245</v>
      </c>
      <c r="B217" s="1" t="s">
        <v>281</v>
      </c>
    </row>
    <row r="218">
      <c r="A218" s="1" t="s">
        <v>246</v>
      </c>
      <c r="B218" s="1" t="s">
        <v>281</v>
      </c>
    </row>
    <row r="219">
      <c r="A219" s="1" t="s">
        <v>247</v>
      </c>
      <c r="B219" s="1" t="s">
        <v>281</v>
      </c>
    </row>
    <row r="220">
      <c r="A220" s="1" t="s">
        <v>248</v>
      </c>
      <c r="B220" s="1" t="s">
        <v>286</v>
      </c>
    </row>
    <row r="221">
      <c r="A221" s="1" t="s">
        <v>288</v>
      </c>
      <c r="B221" s="1" t="s">
        <v>284</v>
      </c>
    </row>
    <row r="222">
      <c r="A222" s="1" t="s">
        <v>249</v>
      </c>
      <c r="B222" s="1" t="s">
        <v>284</v>
      </c>
    </row>
    <row r="223">
      <c r="A223" s="1" t="s">
        <v>250</v>
      </c>
      <c r="B223" s="1" t="s">
        <v>282</v>
      </c>
    </row>
    <row r="224">
      <c r="A224" s="1" t="s">
        <v>251</v>
      </c>
      <c r="B224" s="1" t="s">
        <v>282</v>
      </c>
    </row>
    <row r="225">
      <c r="A225" s="1" t="s">
        <v>252</v>
      </c>
      <c r="B225" s="1" t="s">
        <v>281</v>
      </c>
    </row>
    <row r="226">
      <c r="A226" s="1" t="s">
        <v>253</v>
      </c>
      <c r="B226" s="1" t="s">
        <v>280</v>
      </c>
    </row>
    <row r="227">
      <c r="A227" s="1" t="s">
        <v>254</v>
      </c>
      <c r="B227" s="1" t="s">
        <v>282</v>
      </c>
    </row>
    <row r="228">
      <c r="A228" s="1" t="s">
        <v>255</v>
      </c>
      <c r="B228" s="1" t="s">
        <v>280</v>
      </c>
    </row>
    <row r="229">
      <c r="A229" s="1" t="s">
        <v>256</v>
      </c>
      <c r="B229" s="1" t="s">
        <v>280</v>
      </c>
    </row>
    <row r="230">
      <c r="A230" s="1" t="s">
        <v>257</v>
      </c>
      <c r="B230" s="1" t="s">
        <v>281</v>
      </c>
    </row>
    <row r="231">
      <c r="A231" s="1" t="s">
        <v>258</v>
      </c>
      <c r="B231" s="1" t="s">
        <v>281</v>
      </c>
    </row>
    <row r="232">
      <c r="A232" s="1" t="s">
        <v>259</v>
      </c>
      <c r="B232" s="1" t="s">
        <v>286</v>
      </c>
    </row>
    <row r="233">
      <c r="A233" s="1" t="s">
        <v>260</v>
      </c>
      <c r="B233" s="1" t="s">
        <v>286</v>
      </c>
    </row>
  </sheetData>
  <drawing r:id="rId1"/>
</worksheet>
</file>